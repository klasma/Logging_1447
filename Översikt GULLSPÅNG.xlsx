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46221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Pärluggla
Sotlav
Nattskärra</t>
        </is>
      </c>
      <c r="V5">
        <f>HYPERLINK("https://klasma.github.io/Logging_1447/artfynd/A 37767-2023 artfynd.xlsx", "A 37767-2023")</f>
        <v/>
      </c>
      <c r="W5">
        <f>HYPERLINK("https://klasma.github.io/Logging_1447/kartor/A 37767-2023 karta.png", "A 37767-2023")</f>
        <v/>
      </c>
      <c r="Y5">
        <f>HYPERLINK("https://klasma.github.io/Logging_1447/klagomål/A 37767-2023 FSC-klagomål.docx", "A 37767-2023")</f>
        <v/>
      </c>
      <c r="Z5">
        <f>HYPERLINK("https://klasma.github.io/Logging_1447/klagomålsmail/A 37767-2023 FSC-klagomål mail.docx", "A 37767-2023")</f>
        <v/>
      </c>
      <c r="AA5">
        <f>HYPERLINK("https://klasma.github.io/Logging_1447/tillsyn/A 37767-2023 tillsynsbegäran.docx", "A 37767-2023")</f>
        <v/>
      </c>
      <c r="AB5">
        <f>HYPERLINK("https://klasma.github.io/Logging_1447/tillsynsmail/A 37767-2023 tillsynsbegäran mail.docx", "A 37767-2023")</f>
        <v/>
      </c>
      <c r="AC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46221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Åkergroda
Vanlig groda
Vanlig padda</t>
        </is>
      </c>
      <c r="V6">
        <f>HYPERLINK("https://klasma.github.io/Logging_1447/artfynd/A 8924-2022 artfynd.xlsx", "A 8924-2022")</f>
        <v/>
      </c>
      <c r="W6">
        <f>HYPERLINK("https://klasma.github.io/Logging_1447/kartor/A 8924-2022 karta.png", "A 8924-2022")</f>
        <v/>
      </c>
      <c r="Y6">
        <f>HYPERLINK("https://klasma.github.io/Logging_1447/klagomål/A 8924-2022 FSC-klagomål.docx", "A 8924-2022")</f>
        <v/>
      </c>
      <c r="Z6">
        <f>HYPERLINK("https://klasma.github.io/Logging_1447/klagomålsmail/A 8924-2022 FSC-klagomål mail.docx", "A 8924-2022")</f>
        <v/>
      </c>
      <c r="AA6">
        <f>HYPERLINK("https://klasma.github.io/Logging_1447/tillsyn/A 8924-2022 tillsynsbegäran.docx", "A 8924-2022")</f>
        <v/>
      </c>
      <c r="AB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46221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46221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46221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46221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46221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46221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HYPERLINK("https://klasma.github.io/Logging_1447/artfynd/A 29176-2025 artfynd.xlsx", "A 29176-2025")</f>
        <v/>
      </c>
      <c r="W12">
        <f>HYPERLINK("https://klasma.github.io/Logging_1447/kartor/A 29176-2025 karta.png", "A 29176-2025")</f>
        <v/>
      </c>
      <c r="Y12">
        <f>HYPERLINK("https://klasma.github.io/Logging_1447/klagomål/A 29176-2025 FSC-klagomål.docx", "A 29176-2025")</f>
        <v/>
      </c>
      <c r="Z12">
        <f>HYPERLINK("https://klasma.github.io/Logging_1447/klagomålsmail/A 29176-2025 FSC-klagomål mail.docx", "A 29176-2025")</f>
        <v/>
      </c>
      <c r="AA12">
        <f>HYPERLINK("https://klasma.github.io/Logging_1447/tillsyn/A 29176-2025 tillsynsbegäran.docx", "A 29176-2025")</f>
        <v/>
      </c>
      <c r="AB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46221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s="2" t="inlineStr">
        <is>
          <t>Knärot</t>
        </is>
      </c>
      <c r="V13">
        <f>HYPERLINK("https://klasma.github.io/Logging_1447/artfynd/A 2637-2022 artfynd.xlsx", "A 2637-2022")</f>
        <v/>
      </c>
      <c r="W13">
        <f>HYPERLINK("https://klasma.github.io/Logging_1447/kartor/A 2637-2022 karta.png", "A 2637-2022")</f>
        <v/>
      </c>
      <c r="X13">
        <f>HYPERLINK("https://klasma.github.io/Logging_1447/knärot/A 2637-2022 karta knärot.png", "A 2637-2022")</f>
        <v/>
      </c>
      <c r="Y13">
        <f>HYPERLINK("https://klasma.github.io/Logging_1447/klagomål/A 2637-2022 FSC-klagomål.docx", "A 2637-2022")</f>
        <v/>
      </c>
      <c r="Z13">
        <f>HYPERLINK("https://klasma.github.io/Logging_1447/klagomålsmail/A 2637-2022 FSC-klagomål mail.docx", "A 2637-2022")</f>
        <v/>
      </c>
      <c r="AA13">
        <f>HYPERLINK("https://klasma.github.io/Logging_1447/tillsyn/A 2637-2022 tillsynsbegäran.docx", "A 2637-2022")</f>
        <v/>
      </c>
      <c r="AB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46221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HYPERLINK("https://klasma.github.io/Logging_1447/artfynd/A 12709-2025 artfynd.xlsx", "A 12709-2025")</f>
        <v/>
      </c>
      <c r="W14">
        <f>HYPERLINK("https://klasma.github.io/Logging_1447/kartor/A 12709-2025 karta.png", "A 12709-2025")</f>
        <v/>
      </c>
      <c r="X14">
        <f>HYPERLINK("https://klasma.github.io/Logging_1447/knärot/A 12709-2025 karta knärot.png", "A 12709-2025")</f>
        <v/>
      </c>
      <c r="Y14">
        <f>HYPERLINK("https://klasma.github.io/Logging_1447/klagomål/A 12709-2025 FSC-klagomål.docx", "A 12709-2025")</f>
        <v/>
      </c>
      <c r="Z14">
        <f>HYPERLINK("https://klasma.github.io/Logging_1447/klagomålsmail/A 12709-2025 FSC-klagomål mail.docx", "A 12709-2025")</f>
        <v/>
      </c>
      <c r="AA14">
        <f>HYPERLINK("https://klasma.github.io/Logging_1447/tillsyn/A 12709-2025 tillsynsbegäran.docx", "A 12709-2025")</f>
        <v/>
      </c>
      <c r="AB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45720</v>
      </c>
      <c r="E15" s="1" t="n">
        <v>46221</v>
      </c>
      <c r="F15" t="inlineStr">
        <is>
          <t>VÄSTRA GÖTALANDS LÄN</t>
        </is>
      </c>
      <c r="G15" t="inlineStr">
        <is>
          <t>GULLSPÅNG</t>
        </is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Motaggsvamp</t>
        </is>
      </c>
      <c r="V15">
        <f>HYPERLINK("https://klasma.github.io/Logging_1447/artfynd/A 10393-2025 artfynd.xlsx", "A 10393-2025")</f>
        <v/>
      </c>
      <c r="W15">
        <f>HYPERLINK("https://klasma.github.io/Logging_1447/kartor/A 10393-2025 karta.png", "A 10393-2025")</f>
        <v/>
      </c>
      <c r="Y15">
        <f>HYPERLINK("https://klasma.github.io/Logging_1447/klagomål/A 10393-2025 FSC-klagomål.docx", "A 10393-2025")</f>
        <v/>
      </c>
      <c r="Z15">
        <f>HYPERLINK("https://klasma.github.io/Logging_1447/klagomålsmail/A 10393-2025 FSC-klagomål mail.docx", "A 10393-2025")</f>
        <v/>
      </c>
      <c r="AA15">
        <f>HYPERLINK("https://klasma.github.io/Logging_1447/tillsyn/A 10393-2025 tillsynsbegäran.docx", "A 10393-2025")</f>
        <v/>
      </c>
      <c r="AB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46221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46221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46221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46221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46221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46221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46221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46221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46221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46221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44072-2021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44434</v>
      </c>
      <c r="E26" s="1" t="n">
        <v>46221</v>
      </c>
      <c r="F26" t="inlineStr">
        <is>
          <t>VÄSTRA GÖTALANDS LÄN</t>
        </is>
      </c>
      <c r="G26" t="inlineStr">
        <is>
          <t>GULLSPÅNG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46221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46221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46221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46221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46221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46221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46221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46221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46221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46221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46221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46221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46221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46221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46221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46221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46221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46221</v>
      </c>
      <c r="F44" t="inlineStr">
        <is>
          <t>VÄSTRA GÖTALANDS LÄN</t>
        </is>
      </c>
      <c r="G44" t="inlineStr">
        <is>
          <t>GULLSPÅNG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68517-2021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44525</v>
      </c>
      <c r="E45" s="1" t="n">
        <v>46221</v>
      </c>
      <c r="F45" t="inlineStr">
        <is>
          <t>VÄSTRA GÖTALANDS LÄN</t>
        </is>
      </c>
      <c r="G45" t="inlineStr">
        <is>
          <t>GULLSPÅNG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46221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46221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46221</v>
      </c>
      <c r="F48" t="inlineStr">
        <is>
          <t>VÄSTRA GÖTALANDS LÄN</t>
        </is>
      </c>
      <c r="G48" t="inlineStr">
        <is>
          <t>GULLSPÅNG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46221</v>
      </c>
      <c r="F49" t="inlineStr">
        <is>
          <t>VÄSTRA GÖTALANDS LÄN</t>
        </is>
      </c>
      <c r="G49" t="inlineStr">
        <is>
          <t>GULLSPÅNG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46221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14309-2024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45393</v>
      </c>
      <c r="E51" s="1" t="n">
        <v>46221</v>
      </c>
      <c r="F51" t="inlineStr">
        <is>
          <t>VÄSTRA GÖTALANDS LÄN</t>
        </is>
      </c>
      <c r="G51" t="inlineStr">
        <is>
          <t>GULLSPÅNG</t>
        </is>
      </c>
      <c r="H51" t="inlineStr">
        <is>
          <t>Kommuner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46221</v>
      </c>
      <c r="F52" t="inlineStr">
        <is>
          <t>VÄSTRA GÖTALANDS LÄN</t>
        </is>
      </c>
      <c r="G52" t="inlineStr">
        <is>
          <t>GULLSPÅNG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46221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53823-2022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46221</v>
      </c>
      <c r="F54" t="inlineStr">
        <is>
          <t>VÄSTRA GÖTALANDS LÄN</t>
        </is>
      </c>
      <c r="G54" t="inlineStr">
        <is>
          <t>GULLSPÅNG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59373-2023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46221</v>
      </c>
      <c r="F55" t="inlineStr">
        <is>
          <t>VÄSTRA GÖTALANDS LÄN</t>
        </is>
      </c>
      <c r="G55" t="inlineStr">
        <is>
          <t>GULLSPÅNG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46221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46221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53360-2022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46221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46221</v>
      </c>
      <c r="F59" t="inlineStr">
        <is>
          <t>VÄSTRA GÖTALANDS LÄN</t>
        </is>
      </c>
      <c r="G59" t="inlineStr">
        <is>
          <t>GULLSPÅNG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63039-2023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46221</v>
      </c>
      <c r="F60" t="inlineStr">
        <is>
          <t>VÄSTRA GÖTALANDS LÄN</t>
        </is>
      </c>
      <c r="G60" t="inlineStr">
        <is>
          <t>GULLSPÅNG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27379-2025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46221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28933-2025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46221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28934-2025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46221</v>
      </c>
      <c r="F63" t="inlineStr">
        <is>
          <t>VÄSTRA GÖTALANDS LÄN</t>
        </is>
      </c>
      <c r="G63" t="inlineStr">
        <is>
          <t>GULLSPÅNG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28932-2025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46221</v>
      </c>
      <c r="F64" t="inlineStr">
        <is>
          <t>VÄSTRA GÖTALANDS LÄN</t>
        </is>
      </c>
      <c r="G64" t="inlineStr">
        <is>
          <t>GULLSPÅNG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8926-2022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46221</v>
      </c>
      <c r="F65" t="inlineStr">
        <is>
          <t>VÄSTRA GÖTALANDS LÄN</t>
        </is>
      </c>
      <c r="G65" t="inlineStr">
        <is>
          <t>GULLSPÅNG</t>
        </is>
      </c>
      <c r="H65" t="inlineStr">
        <is>
          <t>Kyrkan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29177-2025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45821</v>
      </c>
      <c r="E66" s="1" t="n">
        <v>46221</v>
      </c>
      <c r="F66" t="inlineStr">
        <is>
          <t>VÄSTRA GÖTALANDS LÄN</t>
        </is>
      </c>
      <c r="G66" t="inlineStr">
        <is>
          <t>GULLSPÅNG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45790</v>
      </c>
      <c r="E67" s="1" t="n">
        <v>46221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58832-2023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46221</v>
      </c>
      <c r="F68" t="inlineStr">
        <is>
          <t>VÄSTRA GÖTALANDS LÄN</t>
        </is>
      </c>
      <c r="G68" t="inlineStr">
        <is>
          <t>GULLSPÅNG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29815-2025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46221</v>
      </c>
      <c r="F69" t="inlineStr">
        <is>
          <t>VÄSTRA GÖTALANDS LÄN</t>
        </is>
      </c>
      <c r="G69" t="inlineStr">
        <is>
          <t>GULLSPÅNG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46221</v>
      </c>
      <c r="F70" t="inlineStr">
        <is>
          <t>VÄSTRA GÖTALANDS LÄN</t>
        </is>
      </c>
      <c r="G70" t="inlineStr">
        <is>
          <t>GULLSPÅNG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20545-2024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46221</v>
      </c>
      <c r="F71" t="inlineStr">
        <is>
          <t>VÄSTRA GÖTALANDS LÄN</t>
        </is>
      </c>
      <c r="G71" t="inlineStr">
        <is>
          <t>GULLSPÅNG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46221</v>
      </c>
      <c r="F72" t="inlineStr">
        <is>
          <t>VÄSTRA GÖTALANDS LÄN</t>
        </is>
      </c>
      <c r="G72" t="inlineStr">
        <is>
          <t>GULLSPÅNG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41256-2024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45559</v>
      </c>
      <c r="E73" s="1" t="n">
        <v>46221</v>
      </c>
      <c r="F73" t="inlineStr">
        <is>
          <t>VÄSTRA GÖTALANDS LÄN</t>
        </is>
      </c>
      <c r="G73" t="inlineStr">
        <is>
          <t>GULLSPÅNG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43564-2024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45569</v>
      </c>
      <c r="E74" s="1" t="n">
        <v>46221</v>
      </c>
      <c r="F74" t="inlineStr">
        <is>
          <t>VÄSTRA GÖTALANDS LÄN</t>
        </is>
      </c>
      <c r="G74" t="inlineStr">
        <is>
          <t>GULLSPÅNG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46221</v>
      </c>
      <c r="F75" t="inlineStr">
        <is>
          <t>VÄSTRA GÖTALANDS LÄN</t>
        </is>
      </c>
      <c r="G75" t="inlineStr">
        <is>
          <t>GULLSPÅNG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44720-2025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46221</v>
      </c>
      <c r="F76" t="inlineStr">
        <is>
          <t>VÄSTRA GÖTALANDS LÄN</t>
        </is>
      </c>
      <c r="G76" t="inlineStr">
        <is>
          <t>GULLSPÅNG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44643-2021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44437</v>
      </c>
      <c r="E77" s="1" t="n">
        <v>46221</v>
      </c>
      <c r="F77" t="inlineStr">
        <is>
          <t>VÄSTRA GÖTALANDS LÄN</t>
        </is>
      </c>
      <c r="G77" t="inlineStr">
        <is>
          <t>GULLSPÅNG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45056-2021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46221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46221</v>
      </c>
      <c r="F79" t="inlineStr">
        <is>
          <t>VÄSTRA GÖTALANDS LÄN</t>
        </is>
      </c>
      <c r="G79" t="inlineStr">
        <is>
          <t>GULLSPÅNG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16910-2024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45411</v>
      </c>
      <c r="E80" s="1" t="n">
        <v>46221</v>
      </c>
      <c r="F80" t="inlineStr">
        <is>
          <t>VÄSTRA GÖTALANDS LÄN</t>
        </is>
      </c>
      <c r="G80" t="inlineStr">
        <is>
          <t>GULLSPÅNG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11805-2025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45727</v>
      </c>
      <c r="E81" s="1" t="n">
        <v>46221</v>
      </c>
      <c r="F81" t="inlineStr">
        <is>
          <t>VÄSTRA GÖTALANDS LÄN</t>
        </is>
      </c>
      <c r="G81" t="inlineStr">
        <is>
          <t>GULLSPÅNG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44644-2021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44437</v>
      </c>
      <c r="E82" s="1" t="n">
        <v>46221</v>
      </c>
      <c r="F82" t="inlineStr">
        <is>
          <t>VÄSTRA GÖTALANDS LÄN</t>
        </is>
      </c>
      <c r="G82" t="inlineStr">
        <is>
          <t>GULLSPÅNG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44439</v>
      </c>
      <c r="E83" s="1" t="n">
        <v>46221</v>
      </c>
      <c r="F83" t="inlineStr">
        <is>
          <t>VÄSTRA GÖTALANDS LÄN</t>
        </is>
      </c>
      <c r="G83" t="inlineStr">
        <is>
          <t>GULLSPÅNG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47189-2025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45930</v>
      </c>
      <c r="E84" s="1" t="n">
        <v>46221</v>
      </c>
      <c r="F84" t="inlineStr">
        <is>
          <t>VÄSTRA GÖTALANDS LÄN</t>
        </is>
      </c>
      <c r="G84" t="inlineStr">
        <is>
          <t>GULLSPÅNG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46221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46221</v>
      </c>
      <c r="F86" t="inlineStr">
        <is>
          <t>VÄSTRA GÖTALANDS LÄN</t>
        </is>
      </c>
      <c r="G86" t="inlineStr">
        <is>
          <t>GULLSPÅNG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47516-2025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46221</v>
      </c>
      <c r="F87" t="inlineStr">
        <is>
          <t>VÄSTRA GÖTALANDS LÄN</t>
        </is>
      </c>
      <c r="G87" t="inlineStr">
        <is>
          <t>GULLSPÅNG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43097-2024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45567</v>
      </c>
      <c r="E88" s="1" t="n">
        <v>46221</v>
      </c>
      <c r="F88" t="inlineStr">
        <is>
          <t>VÄSTRA GÖTALANDS LÄN</t>
        </is>
      </c>
      <c r="G88" t="inlineStr">
        <is>
          <t>GULLSPÅNG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35435-2023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46221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36573-2025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46221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46221</v>
      </c>
      <c r="F91" t="inlineStr">
        <is>
          <t>VÄSTRA GÖTALANDS LÄN</t>
        </is>
      </c>
      <c r="G91" t="inlineStr">
        <is>
          <t>GULLSPÅNG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36581-2025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46221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12215-2025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45729</v>
      </c>
      <c r="E93" s="1" t="n">
        <v>46221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57289-2024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46221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45101-2021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44439</v>
      </c>
      <c r="E95" s="1" t="n">
        <v>46221</v>
      </c>
      <c r="F95" t="inlineStr">
        <is>
          <t>VÄSTRA GÖTALANDS LÄN</t>
        </is>
      </c>
      <c r="G95" t="inlineStr">
        <is>
          <t>GULLSPÅNG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46221</v>
      </c>
      <c r="F96" t="inlineStr">
        <is>
          <t>VÄSTRA GÖTALANDS LÄN</t>
        </is>
      </c>
      <c r="G96" t="inlineStr">
        <is>
          <t>GULLSPÅNG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46221</v>
      </c>
      <c r="F97" t="inlineStr">
        <is>
          <t>VÄSTRA GÖTALANDS LÄN</t>
        </is>
      </c>
      <c r="G97" t="inlineStr">
        <is>
          <t>GULLSPÅNG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46221</v>
      </c>
      <c r="F98" t="inlineStr">
        <is>
          <t>VÄSTRA GÖTALANDS LÄN</t>
        </is>
      </c>
      <c r="G98" t="inlineStr">
        <is>
          <t>GULLSPÅNG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50736-2025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46221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46221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59864-2024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46221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37925-2025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45881</v>
      </c>
      <c r="E102" s="1" t="n">
        <v>46221</v>
      </c>
      <c r="F102" t="inlineStr">
        <is>
          <t>VÄSTRA GÖTALANDS LÄN</t>
        </is>
      </c>
      <c r="G102" t="inlineStr">
        <is>
          <t>GULLSPÅNG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7818-2026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46221</v>
      </c>
      <c r="F103" t="inlineStr">
        <is>
          <t>VÄSTRA GÖTALANDS LÄN</t>
        </is>
      </c>
      <c r="G103" t="inlineStr">
        <is>
          <t>GULLSPÅNG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46221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46221</v>
      </c>
      <c r="F105" t="inlineStr">
        <is>
          <t>VÄSTRA GÖTALANDS LÄN</t>
        </is>
      </c>
      <c r="G105" t="inlineStr">
        <is>
          <t>GULLSPÅNG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46221</v>
      </c>
      <c r="F106" t="inlineStr">
        <is>
          <t>VÄSTRA GÖTALANDS LÄN</t>
        </is>
      </c>
      <c r="G106" t="inlineStr">
        <is>
          <t>GULLSPÅNG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46221</v>
      </c>
      <c r="F107" t="inlineStr">
        <is>
          <t>VÄSTRA GÖTALANDS LÄN</t>
        </is>
      </c>
      <c r="G107" t="inlineStr">
        <is>
          <t>GULLSPÅNG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46221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45727</v>
      </c>
      <c r="E109" s="1" t="n">
        <v>46221</v>
      </c>
      <c r="F109" t="inlineStr">
        <is>
          <t>VÄSTRA GÖTALANDS LÄN</t>
        </is>
      </c>
      <c r="G109" t="inlineStr">
        <is>
          <t>GULLSPÅNG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57287-2024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45629</v>
      </c>
      <c r="E110" s="1" t="n">
        <v>46221</v>
      </c>
      <c r="F110" t="inlineStr">
        <is>
          <t>VÄSTRA GÖTALANDS LÄN</t>
        </is>
      </c>
      <c r="G110" t="inlineStr">
        <is>
          <t>GULLSPÅNG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9226-2026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46221</v>
      </c>
      <c r="F111" t="inlineStr">
        <is>
          <t>VÄSTRA GÖTALANDS LÄN</t>
        </is>
      </c>
      <c r="G111" t="inlineStr">
        <is>
          <t>GULLSPÅNG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44707-2021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46221</v>
      </c>
      <c r="F112" t="inlineStr">
        <is>
          <t>VÄSTRA GÖTALANDS LÄN</t>
        </is>
      </c>
      <c r="G112" t="inlineStr">
        <is>
          <t>GULLSPÅNG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9221-2026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46221</v>
      </c>
      <c r="F113" t="inlineStr">
        <is>
          <t>VÄSTRA GÖTALANDS LÄN</t>
        </is>
      </c>
      <c r="G113" t="inlineStr">
        <is>
          <t>GULLSPÅNG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9742-2026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46072</v>
      </c>
      <c r="E114" s="1" t="n">
        <v>46221</v>
      </c>
      <c r="F114" t="inlineStr">
        <is>
          <t>VÄSTRA GÖTALANDS LÄN</t>
        </is>
      </c>
      <c r="G114" t="inlineStr">
        <is>
          <t>GULLSPÅNG</t>
        </is>
      </c>
      <c r="H114" t="inlineStr">
        <is>
          <t>Kyrkan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37492-2021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44398</v>
      </c>
      <c r="E115" s="1" t="n">
        <v>46221</v>
      </c>
      <c r="F115" t="inlineStr">
        <is>
          <t>VÄSTRA GÖTALANDS LÄN</t>
        </is>
      </c>
      <c r="G115" t="inlineStr">
        <is>
          <t>GULLSPÅNG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46221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37700-2021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44400</v>
      </c>
      <c r="E117" s="1" t="n">
        <v>46221</v>
      </c>
      <c r="F117" t="inlineStr">
        <is>
          <t>VÄSTRA GÖTALANDS LÄN</t>
        </is>
      </c>
      <c r="G117" t="inlineStr">
        <is>
          <t>GULLSPÅNG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31833-2024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45509</v>
      </c>
      <c r="E118" s="1" t="n">
        <v>46221</v>
      </c>
      <c r="F118" t="inlineStr">
        <is>
          <t>VÄSTRA GÖTALANDS LÄN</t>
        </is>
      </c>
      <c r="G118" t="inlineStr">
        <is>
          <t>GULLSPÅNG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11949-2026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46221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11563-2026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46084</v>
      </c>
      <c r="E120" s="1" t="n">
        <v>46221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11758-2026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46084</v>
      </c>
      <c r="E121" s="1" t="n">
        <v>46221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46221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12069-2026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46221</v>
      </c>
      <c r="F123" t="inlineStr">
        <is>
          <t>VÄSTRA GÖTALANDS LÄN</t>
        </is>
      </c>
      <c r="G123" t="inlineStr">
        <is>
          <t>GULLSPÅNG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12070-2026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46086</v>
      </c>
      <c r="E124" s="1" t="n">
        <v>46221</v>
      </c>
      <c r="F124" t="inlineStr">
        <is>
          <t>VÄSTRA GÖTALANDS LÄN</t>
        </is>
      </c>
      <c r="G124" t="inlineStr">
        <is>
          <t>GULLSPÅNG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12272-2026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46087</v>
      </c>
      <c r="E125" s="1" t="n">
        <v>46221</v>
      </c>
      <c r="F125" t="inlineStr">
        <is>
          <t>VÄSTRA GÖTALANDS LÄN</t>
        </is>
      </c>
      <c r="G125" t="inlineStr">
        <is>
          <t>GULLSPÅNG</t>
        </is>
      </c>
      <c r="H125" t="inlineStr">
        <is>
          <t>Kyrkan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20542-2024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46221</v>
      </c>
      <c r="F126" t="inlineStr">
        <is>
          <t>VÄSTRA GÖTALANDS LÄN</t>
        </is>
      </c>
      <c r="G126" t="inlineStr">
        <is>
          <t>GULLSPÅNG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46221</v>
      </c>
      <c r="F127" t="inlineStr">
        <is>
          <t>VÄSTRA GÖTALANDS LÄN</t>
        </is>
      </c>
      <c r="G127" t="inlineStr">
        <is>
          <t>GULLSPÅNG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13623-2026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46221</v>
      </c>
      <c r="F128" t="inlineStr">
        <is>
          <t>VÄSTRA GÖTALANDS LÄN</t>
        </is>
      </c>
      <c r="G128" t="inlineStr">
        <is>
          <t>GULLSPÅNG</t>
        </is>
      </c>
      <c r="I128" t="n">
        <v>13.5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46221</v>
      </c>
      <c r="F129" t="inlineStr">
        <is>
          <t>VÄSTRA GÖTALANDS LÄN</t>
        </is>
      </c>
      <c r="G129" t="inlineStr">
        <is>
          <t>GULLSPÅNG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61358-2025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46221</v>
      </c>
      <c r="F130" t="inlineStr">
        <is>
          <t>VÄSTRA GÖTALANDS LÄN</t>
        </is>
      </c>
      <c r="G130" t="inlineStr">
        <is>
          <t>GULLSPÅNG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61803-2025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46221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61802-2025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46221</v>
      </c>
      <c r="F132" t="inlineStr">
        <is>
          <t>VÄSTRA GÖTALANDS LÄN</t>
        </is>
      </c>
      <c r="G132" t="inlineStr">
        <is>
          <t>GULLSPÅNG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46221</v>
      </c>
      <c r="F133" t="inlineStr">
        <is>
          <t>VÄSTRA GÖTALANDS LÄN</t>
        </is>
      </c>
      <c r="G133" t="inlineStr">
        <is>
          <t>GULLSPÅNG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46221</v>
      </c>
      <c r="F134" t="inlineStr">
        <is>
          <t>VÄSTRA GÖTALANDS LÄN</t>
        </is>
      </c>
      <c r="G134" t="inlineStr">
        <is>
          <t>GULLSPÅNG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39144-2024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46221</v>
      </c>
      <c r="F135" t="inlineStr">
        <is>
          <t>VÄSTRA GÖTALANDS LÄN</t>
        </is>
      </c>
      <c r="G135" t="inlineStr">
        <is>
          <t>GULLSPÅNG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46221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63556-2025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46221</v>
      </c>
      <c r="F137" t="inlineStr">
        <is>
          <t>VÄSTRA GÖTALANDS LÄN</t>
        </is>
      </c>
      <c r="G137" t="inlineStr">
        <is>
          <t>GULLSPÅNG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63405-2025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46012</v>
      </c>
      <c r="E138" s="1" t="n">
        <v>46221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46221</v>
      </c>
      <c r="F139" t="inlineStr">
        <is>
          <t>VÄSTRA GÖTALANDS LÄN</t>
        </is>
      </c>
      <c r="G139" t="inlineStr">
        <is>
          <t>GULLSPÅNG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46012</v>
      </c>
      <c r="E140" s="1" t="n">
        <v>46221</v>
      </c>
      <c r="F140" t="inlineStr">
        <is>
          <t>VÄSTRA GÖTALANDS LÄN</t>
        </is>
      </c>
      <c r="G140" t="inlineStr">
        <is>
          <t>GULLSPÅNG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46221</v>
      </c>
      <c r="F141" t="inlineStr">
        <is>
          <t>VÄSTRA GÖTALANDS LÄN</t>
        </is>
      </c>
      <c r="G141" t="inlineStr">
        <is>
          <t>GULLSPÅNG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46221</v>
      </c>
      <c r="F142" t="inlineStr">
        <is>
          <t>VÄSTRA GÖTALANDS LÄN</t>
        </is>
      </c>
      <c r="G142" t="inlineStr">
        <is>
          <t>GULLSPÅNG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46221</v>
      </c>
      <c r="F143" t="inlineStr">
        <is>
          <t>VÄSTRA GÖTALANDS LÄN</t>
        </is>
      </c>
      <c r="G143" t="inlineStr">
        <is>
          <t>GULLSPÅNG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15665-2026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46221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46221</v>
      </c>
      <c r="F145" t="inlineStr">
        <is>
          <t>VÄSTRA GÖTALANDS LÄN</t>
        </is>
      </c>
      <c r="G145" t="inlineStr">
        <is>
          <t>GULLSPÅNG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45335</v>
      </c>
      <c r="E146" s="1" t="n">
        <v>46221</v>
      </c>
      <c r="F146" t="inlineStr">
        <is>
          <t>VÄSTRA GÖTALANDS LÄN</t>
        </is>
      </c>
      <c r="G146" t="inlineStr">
        <is>
          <t>GULLSPÅNG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15989-2026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46221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16093-2026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46221</v>
      </c>
      <c r="F148" t="inlineStr">
        <is>
          <t>VÄSTRA GÖTALANDS LÄN</t>
        </is>
      </c>
      <c r="G148" t="inlineStr">
        <is>
          <t>GULLSPÅNG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40505-2023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46221</v>
      </c>
      <c r="F149" t="inlineStr">
        <is>
          <t>VÄSTRA GÖTALANDS LÄN</t>
        </is>
      </c>
      <c r="G149" t="inlineStr">
        <is>
          <t>GULLSPÅNG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64725-2023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46221</v>
      </c>
      <c r="F150" t="inlineStr">
        <is>
          <t>VÄSTRA GÖTALANDS LÄN</t>
        </is>
      </c>
      <c r="G150" t="inlineStr">
        <is>
          <t>GULLSPÅNG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46221</v>
      </c>
      <c r="F151" t="inlineStr">
        <is>
          <t>VÄSTRA GÖTALANDS LÄN</t>
        </is>
      </c>
      <c r="G151" t="inlineStr">
        <is>
          <t>GULLSPÅNG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31989-2022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44778</v>
      </c>
      <c r="E152" s="1" t="n">
        <v>46221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35429-2023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46221</v>
      </c>
      <c r="F153" t="inlineStr">
        <is>
          <t>VÄSTRA GÖTALANDS LÄN</t>
        </is>
      </c>
      <c r="G153" t="inlineStr">
        <is>
          <t>GULLSPÅNG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35186-2024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46221</v>
      </c>
      <c r="F154" t="inlineStr">
        <is>
          <t>VÄSTRA GÖTALANDS LÄN</t>
        </is>
      </c>
      <c r="G154" t="inlineStr">
        <is>
          <t>GULLSPÅNG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35433-2023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46221</v>
      </c>
      <c r="F155" t="inlineStr">
        <is>
          <t>VÄSTRA GÖTALANDS LÄN</t>
        </is>
      </c>
      <c r="G155" t="inlineStr">
        <is>
          <t>GULLSPÅNG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46221</v>
      </c>
      <c r="F156" t="inlineStr">
        <is>
          <t>VÄSTRA GÖTALANDS LÄN</t>
        </is>
      </c>
      <c r="G156" t="inlineStr">
        <is>
          <t>GULLSPÅNG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14821-2024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46221</v>
      </c>
      <c r="F157" t="inlineStr">
        <is>
          <t>VÄSTRA GÖTALANDS LÄN</t>
        </is>
      </c>
      <c r="G157" t="inlineStr">
        <is>
          <t>GULLSPÅNG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56517-2024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46221</v>
      </c>
      <c r="F158" t="inlineStr">
        <is>
          <t>VÄSTRA GÖTALANDS LÄN</t>
        </is>
      </c>
      <c r="G158" t="inlineStr">
        <is>
          <t>GULLSPÅNG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56531-2024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46221</v>
      </c>
      <c r="F159" t="inlineStr">
        <is>
          <t>VÄSTRA GÖTALANDS LÄN</t>
        </is>
      </c>
      <c r="G159" t="inlineStr">
        <is>
          <t>GULLSPÅNG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46221</v>
      </c>
      <c r="F160" t="inlineStr">
        <is>
          <t>VÄSTRA GÖTALANDS LÄN</t>
        </is>
      </c>
      <c r="G160" t="inlineStr">
        <is>
          <t>GULLSPÅNG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44580</v>
      </c>
      <c r="E161" s="1" t="n">
        <v>46221</v>
      </c>
      <c r="F161" t="inlineStr">
        <is>
          <t>VÄSTRA GÖTALANDS LÄN</t>
        </is>
      </c>
      <c r="G161" t="inlineStr">
        <is>
          <t>GULLSPÅNG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46221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46221</v>
      </c>
      <c r="F163" t="inlineStr">
        <is>
          <t>VÄSTRA GÖTALANDS LÄN</t>
        </is>
      </c>
      <c r="G163" t="inlineStr">
        <is>
          <t>GULLSPÅNG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45702</v>
      </c>
      <c r="E164" s="1" t="n">
        <v>46221</v>
      </c>
      <c r="F164" t="inlineStr">
        <is>
          <t>VÄSTRA GÖTALANDS LÄN</t>
        </is>
      </c>
      <c r="G164" t="inlineStr">
        <is>
          <t>GULLSPÅNG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56512-2024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46221</v>
      </c>
      <c r="F165" t="inlineStr">
        <is>
          <t>VÄSTRA GÖTALANDS LÄN</t>
        </is>
      </c>
      <c r="G165" t="inlineStr">
        <is>
          <t>GULLSPÅNG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46221</v>
      </c>
      <c r="F166" t="inlineStr">
        <is>
          <t>VÄSTRA GÖTALANDS LÄN</t>
        </is>
      </c>
      <c r="G166" t="inlineStr">
        <is>
          <t>GULLSPÅNG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59231-2023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46221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46221</v>
      </c>
      <c r="F168" t="inlineStr">
        <is>
          <t>VÄSTRA GÖTALANDS LÄN</t>
        </is>
      </c>
      <c r="G168" t="inlineStr">
        <is>
          <t>GULLSPÅNG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28097-2022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46221</v>
      </c>
      <c r="F169" t="inlineStr">
        <is>
          <t>VÄSTRA GÖTALANDS LÄN</t>
        </is>
      </c>
      <c r="G169" t="inlineStr">
        <is>
          <t>GULLSPÅNG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46221</v>
      </c>
      <c r="F170" t="inlineStr">
        <is>
          <t>VÄSTRA GÖTALANDS LÄN</t>
        </is>
      </c>
      <c r="G170" t="inlineStr">
        <is>
          <t>GULLSPÅNG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26441-2022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44738</v>
      </c>
      <c r="E171" s="1" t="n">
        <v>46221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46221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650-2024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46221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46221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35366-2024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46221</v>
      </c>
      <c r="F175" t="inlineStr">
        <is>
          <t>VÄSTRA GÖTALANDS LÄN</t>
        </is>
      </c>
      <c r="G175" t="inlineStr">
        <is>
          <t>GULLSPÅNG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45296</v>
      </c>
      <c r="E176" s="1" t="n">
        <v>46221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46480-2022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46221</v>
      </c>
      <c r="F177" t="inlineStr">
        <is>
          <t>VÄSTRA GÖTALANDS LÄN</t>
        </is>
      </c>
      <c r="G177" t="inlineStr">
        <is>
          <t>GULLSPÅNG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22925-2024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46221</v>
      </c>
      <c r="F178" t="inlineStr">
        <is>
          <t>VÄSTRA GÖTALANDS LÄN</t>
        </is>
      </c>
      <c r="G178" t="inlineStr">
        <is>
          <t>GULLSPÅNG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46221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29167-2025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46221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46221</v>
      </c>
      <c r="F181" t="inlineStr">
        <is>
          <t>VÄSTRA GÖTALANDS LÄN</t>
        </is>
      </c>
      <c r="G181" t="inlineStr">
        <is>
          <t>GULLSPÅNG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37197-2023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46221</v>
      </c>
      <c r="F182" t="inlineStr">
        <is>
          <t>VÄSTRA GÖTALANDS LÄN</t>
        </is>
      </c>
      <c r="G182" t="inlineStr">
        <is>
          <t>GULLSPÅNG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46221</v>
      </c>
      <c r="F183" t="inlineStr">
        <is>
          <t>VÄSTRA GÖTALANDS LÄN</t>
        </is>
      </c>
      <c r="G183" t="inlineStr">
        <is>
          <t>GULLSPÅNG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9481-2023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46221</v>
      </c>
      <c r="F184" t="inlineStr">
        <is>
          <t>VÄSTRA GÖTALANDS LÄN</t>
        </is>
      </c>
      <c r="G184" t="inlineStr">
        <is>
          <t>GULLSPÅNG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46221</v>
      </c>
      <c r="F185" t="inlineStr">
        <is>
          <t>VÄSTRA GÖTALANDS LÄN</t>
        </is>
      </c>
      <c r="G185" t="inlineStr">
        <is>
          <t>GULLSPÅNG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28200-2022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44746</v>
      </c>
      <c r="E186" s="1" t="n">
        <v>46221</v>
      </c>
      <c r="F186" t="inlineStr">
        <is>
          <t>VÄSTRA GÖTALANDS LÄN</t>
        </is>
      </c>
      <c r="G186" t="inlineStr">
        <is>
          <t>GULLSPÅNG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46221</v>
      </c>
      <c r="F187" t="inlineStr">
        <is>
          <t>VÄSTRA GÖTALANDS LÄN</t>
        </is>
      </c>
      <c r="G187" t="inlineStr">
        <is>
          <t>GULLSPÅNG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46221</v>
      </c>
      <c r="F188" t="inlineStr">
        <is>
          <t>VÄSTRA GÖTALANDS LÄN</t>
        </is>
      </c>
      <c r="G188" t="inlineStr">
        <is>
          <t>GULLSPÅNG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8794-2023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44978</v>
      </c>
      <c r="E189" s="1" t="n">
        <v>46221</v>
      </c>
      <c r="F189" t="inlineStr">
        <is>
          <t>VÄSTRA GÖTALANDS LÄN</t>
        </is>
      </c>
      <c r="G189" t="inlineStr">
        <is>
          <t>GULLSPÅNG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12476-2023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46221</v>
      </c>
      <c r="F190" t="inlineStr">
        <is>
          <t>VÄSTRA GÖTALANDS LÄN</t>
        </is>
      </c>
      <c r="G190" t="inlineStr">
        <is>
          <t>GULLSPÅNG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51179-2025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46221</v>
      </c>
      <c r="F191" t="inlineStr">
        <is>
          <t>VÄSTRA GÖTALANDS LÄN</t>
        </is>
      </c>
      <c r="G191" t="inlineStr">
        <is>
          <t>GULLSPÅNG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46221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64722-2023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46221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12889-2023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46221</v>
      </c>
      <c r="F194" t="inlineStr">
        <is>
          <t>VÄSTRA GÖTALANDS LÄN</t>
        </is>
      </c>
      <c r="G194" t="inlineStr">
        <is>
          <t>GULLSPÅNG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46221</v>
      </c>
      <c r="F195" t="inlineStr">
        <is>
          <t>VÄSTRA GÖTALANDS LÄN</t>
        </is>
      </c>
      <c r="G195" t="inlineStr">
        <is>
          <t>GULLSPÅNG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46221</v>
      </c>
      <c r="F196" t="inlineStr">
        <is>
          <t>VÄSTRA GÖTALANDS LÄN</t>
        </is>
      </c>
      <c r="G196" t="inlineStr">
        <is>
          <t>GULLSPÅNG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46221</v>
      </c>
      <c r="F197" t="inlineStr">
        <is>
          <t>VÄSTRA GÖTALANDS LÄN</t>
        </is>
      </c>
      <c r="G197" t="inlineStr">
        <is>
          <t>GULLSPÅNG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46221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25554-2023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46221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46221</v>
      </c>
      <c r="F200" t="inlineStr">
        <is>
          <t>VÄSTRA GÖTALANDS LÄN</t>
        </is>
      </c>
      <c r="G200" t="inlineStr">
        <is>
          <t>GULLSPÅNG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46221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24857-2026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46221</v>
      </c>
      <c r="F202" t="inlineStr">
        <is>
          <t>VÄSTRA GÖTALANDS LÄN</t>
        </is>
      </c>
      <c r="G202" t="inlineStr">
        <is>
          <t>GULLSPÅNG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58878-2023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46221</v>
      </c>
      <c r="F203" t="inlineStr">
        <is>
          <t>VÄSTRA GÖTALANDS LÄN</t>
        </is>
      </c>
      <c r="G203" t="inlineStr">
        <is>
          <t>GULLSPÅNG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10732-2024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45369</v>
      </c>
      <c r="E204" s="1" t="n">
        <v>46221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27260-2024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46221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46221</v>
      </c>
      <c r="F206" t="inlineStr">
        <is>
          <t>VÄSTRA GÖTALANDS LÄN</t>
        </is>
      </c>
      <c r="G206" t="inlineStr">
        <is>
          <t>GULLSPÅNG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46221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60091-2023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46221</v>
      </c>
      <c r="F208" t="inlineStr">
        <is>
          <t>VÄSTRA GÖTALANDS LÄN</t>
        </is>
      </c>
      <c r="G208" t="inlineStr">
        <is>
          <t>GULLSPÅNG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46221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46221</v>
      </c>
      <c r="F210" t="inlineStr">
        <is>
          <t>VÄSTRA GÖTALANDS LÄN</t>
        </is>
      </c>
      <c r="G210" t="inlineStr">
        <is>
          <t>GULLSPÅNG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29203-2023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46221</v>
      </c>
      <c r="F211" t="inlineStr">
        <is>
          <t>VÄSTRA GÖTALANDS LÄN</t>
        </is>
      </c>
      <c r="G211" t="inlineStr">
        <is>
          <t>GULLSPÅNG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55145-2024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46221</v>
      </c>
      <c r="F212" t="inlineStr">
        <is>
          <t>VÄSTRA GÖTALANDS LÄN</t>
        </is>
      </c>
      <c r="G212" t="inlineStr">
        <is>
          <t>GULLSPÅNG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46221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46221</v>
      </c>
      <c r="F214" t="inlineStr">
        <is>
          <t>VÄSTRA GÖTALANDS LÄN</t>
        </is>
      </c>
      <c r="G214" t="inlineStr">
        <is>
          <t>GULLSPÅNG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46221</v>
      </c>
      <c r="F215" t="inlineStr">
        <is>
          <t>VÄSTRA GÖTALANDS LÄN</t>
        </is>
      </c>
      <c r="G215" t="inlineStr">
        <is>
          <t>GULLSPÅNG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14325-2024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46221</v>
      </c>
      <c r="F216" t="inlineStr">
        <is>
          <t>VÄSTRA GÖTALANDS LÄN</t>
        </is>
      </c>
      <c r="G216" t="inlineStr">
        <is>
          <t>GULLSPÅNG</t>
        </is>
      </c>
      <c r="H216" t="inlineStr">
        <is>
          <t>Kommuner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21159-2025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45779</v>
      </c>
      <c r="E217" s="1" t="n">
        <v>46221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46221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10388-2025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46221</v>
      </c>
      <c r="F219" t="inlineStr">
        <is>
          <t>VÄSTRA GÖTALANDS LÄN</t>
        </is>
      </c>
      <c r="G219" t="inlineStr">
        <is>
          <t>GULLSPÅNG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46221</v>
      </c>
      <c r="F220" t="inlineStr">
        <is>
          <t>VÄSTRA GÖTALANDS LÄN</t>
        </is>
      </c>
      <c r="G220" t="inlineStr">
        <is>
          <t>GULLSPÅNG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11818-2025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46221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10638-2025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46221</v>
      </c>
      <c r="F222" t="inlineStr">
        <is>
          <t>VÄSTRA GÖTALANDS LÄN</t>
        </is>
      </c>
      <c r="G222" t="inlineStr">
        <is>
          <t>GULLSPÅNG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46221</v>
      </c>
      <c r="F223" t="inlineStr">
        <is>
          <t>VÄSTRA GÖTALANDS LÄN</t>
        </is>
      </c>
      <c r="G223" t="inlineStr">
        <is>
          <t>GULLSPÅNG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35888-2024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46221</v>
      </c>
      <c r="F224" t="inlineStr">
        <is>
          <t>VÄSTRA GÖTALANDS LÄN</t>
        </is>
      </c>
      <c r="G224" t="inlineStr">
        <is>
          <t>GULLSPÅNG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13346-2025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46221</v>
      </c>
      <c r="F225" t="inlineStr">
        <is>
          <t>VÄSTRA GÖTALANDS LÄN</t>
        </is>
      </c>
      <c r="G225" t="inlineStr">
        <is>
          <t>GULLSPÅNG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59204-2022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46221</v>
      </c>
      <c r="F226" t="inlineStr">
        <is>
          <t>VÄSTRA GÖTALANDS LÄN</t>
        </is>
      </c>
      <c r="G226" t="inlineStr">
        <is>
          <t>GULLSPÅNG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40530-2024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46221</v>
      </c>
      <c r="F227" t="inlineStr">
        <is>
          <t>VÄSTRA GÖTALANDS LÄN</t>
        </is>
      </c>
      <c r="G227" t="inlineStr">
        <is>
          <t>GULLSPÅNG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46221</v>
      </c>
      <c r="F228" t="inlineStr">
        <is>
          <t>VÄSTRA GÖTALANDS LÄN</t>
        </is>
      </c>
      <c r="G228" t="inlineStr">
        <is>
          <t>GULLSPÅNG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43105-2024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46221</v>
      </c>
      <c r="F229" t="inlineStr">
        <is>
          <t>VÄSTRA GÖTALANDS LÄN</t>
        </is>
      </c>
      <c r="G229" t="inlineStr">
        <is>
          <t>GULLSPÅNG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46221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46221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46221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46221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2026-07-18T01:21:00Z</dcterms:created>
  <dcterms:modified xmlns:dcterms="http://purl.org/dc/terms/" xmlns:xsi="http://www.w3.org/2001/XMLSchema-instance" xsi:type="dcterms:W3CDTF">2026-07-18T01:21:00Z</dcterms:modified>
</cp:coreProperties>
</file>