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46307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46307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46307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46307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46307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46307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46307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25554-2023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45082</v>
      </c>
      <c r="E12" s="1" t="n">
        <v>46307</v>
      </c>
      <c r="F12" t="inlineStr">
        <is>
          <t>VÄSTRA GÖTALANDS LÄN</t>
        </is>
      </c>
      <c r="G12" t="inlineStr">
        <is>
          <t>GULLSPÅNG</t>
        </is>
      </c>
      <c r="I12" t="n">
        <v>0.6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Jungfrulin</t>
        </is>
      </c>
      <c r="W12">
        <f>HYPERLINK("https://klasma.github.io/Logging_1447/artfynd/A 25554-2023 artfynd.xlsx", "A 25554-2023")</f>
        <v/>
      </c>
      <c r="X12">
        <f>HYPERLINK("https://klasma.github.io/Logging_1447/kartor/A 25554-2023 karta.png", "A 25554-2023")</f>
        <v/>
      </c>
      <c r="Y12">
        <f>HYPERLINK("https://klasma.github.io/Logging_1447/kartor_geotiff/A 25554-2023 georefererad karta.tif", "A 25554-2023")</f>
        <v/>
      </c>
      <c r="AA12">
        <f>HYPERLINK("https://klasma.github.io/Logging_1447/klagomål/A 25554-2023 FSC-klagomål.docx", "A 25554-2023")</f>
        <v/>
      </c>
      <c r="AB12">
        <f>HYPERLINK("https://klasma.github.io/Logging_1447/klagomålsmail/A 25554-2023 FSC-klagomål mail.docx", "A 25554-2023")</f>
        <v/>
      </c>
      <c r="AC12">
        <f>HYPERLINK("https://klasma.github.io/Logging_1447/tillsyn/A 25554-2023 tillsynsbegäran.docx", "A 25554-2023")</f>
        <v/>
      </c>
      <c r="AD12">
        <f>HYPERLINK("https://klasma.github.io/Logging_1447/tillsynsmail/A 25554-2023 tillsynsbegäran mail.docx", "A 25554-2023")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46307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46307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29176-2025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45821</v>
      </c>
      <c r="E15" s="1" t="n">
        <v>46307</v>
      </c>
      <c r="F15" t="inlineStr">
        <is>
          <t>VÄSTRA GÖTALANDS LÄN</t>
        </is>
      </c>
      <c r="G15" t="inlineStr">
        <is>
          <t>GULLSPÅNG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HYPERLINK("https://klasma.github.io/Logging_1447/artfynd/A 29176-2025 artfynd.xlsx", "A 29176-2025")</f>
        <v/>
      </c>
      <c r="X15">
        <f>HYPERLINK("https://klasma.github.io/Logging_1447/kartor/A 29176-2025 karta.png", "A 29176-2025")</f>
        <v/>
      </c>
      <c r="Y15">
        <f>HYPERLINK("https://klasma.github.io/Logging_1447/kartor_geotiff/A 29176-2025 georefererad karta.tif", "A 29176-2025")</f>
        <v/>
      </c>
      <c r="AA15">
        <f>HYPERLINK("https://klasma.github.io/Logging_1447/klagomål/A 29176-2025 FSC-klagomål.docx", "A 29176-2025")</f>
        <v/>
      </c>
      <c r="AB15">
        <f>HYPERLINK("https://klasma.github.io/Logging_1447/klagomålsmail/A 29176-2025 FSC-klagomål mail.docx", "A 29176-2025")</f>
        <v/>
      </c>
      <c r="AC15">
        <f>HYPERLINK("https://klasma.github.io/Logging_1447/tillsyn/A 29176-2025 tillsynsbegäran.docx", "A 29176-2025")</f>
        <v/>
      </c>
      <c r="AD15">
        <f>HYPERLINK("https://klasma.github.io/Logging_1447/tillsynsmail/A 29176-2025 tillsynsbegäran mail.docx", "A 29176-2025")</f>
        <v/>
      </c>
    </row>
    <row r="16" ht="15" customHeight="1">
      <c r="A16" t="inlineStr">
        <is>
          <t>A 34738-2026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46307</v>
      </c>
      <c r="F16" t="inlineStr">
        <is>
          <t>VÄSTRA GÖTALANDS LÄN</t>
        </is>
      </c>
      <c r="G16" t="inlineStr">
        <is>
          <t>GULLSPÅNG</t>
        </is>
      </c>
      <c r="H16" t="inlineStr">
        <is>
          <t>Kyrkan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Vanlig padda</t>
        </is>
      </c>
      <c r="W16">
        <f>HYPERLINK("https://klasma.github.io/Logging_1447/artfynd/A 34738-2026 artfynd.xlsx", "A 34738-2026")</f>
        <v/>
      </c>
      <c r="X16">
        <f>HYPERLINK("https://klasma.github.io/Logging_1447/kartor/A 34738-2026 karta.png", "A 34738-2026")</f>
        <v/>
      </c>
      <c r="Y16">
        <f>HYPERLINK("https://klasma.github.io/Logging_1447/kartor_geotiff/A 34738-2026 georefererad karta.tif", "A 34738-2026")</f>
        <v/>
      </c>
      <c r="AA16">
        <f>HYPERLINK("https://klasma.github.io/Logging_1447/klagomål/A 34738-2026 FSC-klagomål.docx", "A 34738-2026")</f>
        <v/>
      </c>
      <c r="AB16">
        <f>HYPERLINK("https://klasma.github.io/Logging_1447/klagomålsmail/A 34738-2026 FSC-klagomål mail.docx", "A 34738-2026")</f>
        <v/>
      </c>
      <c r="AC16">
        <f>HYPERLINK("https://klasma.github.io/Logging_1447/tillsyn/A 34738-2026 tillsynsbegäran.docx", "A 34738-2026")</f>
        <v/>
      </c>
      <c r="AD16">
        <f>HYPERLINK("https://klasma.github.io/Logging_1447/tillsynsmail/A 34738-2026 tillsynsbegäran mail.docx", "A 34738-2026")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46307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46307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46307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46307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46307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46307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46307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68517-2021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46307</v>
      </c>
      <c r="F24" t="inlineStr">
        <is>
          <t>VÄSTRA GÖTALANDS LÄN</t>
        </is>
      </c>
      <c r="G24" t="inlineStr">
        <is>
          <t>GULLSPÅNG</t>
        </is>
      </c>
      <c r="I24" t="n">
        <v>4.9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55624-2022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44883</v>
      </c>
      <c r="E25" s="1" t="n">
        <v>46307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2640-2022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46307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46307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46307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46307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46307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9423-2022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44616</v>
      </c>
      <c r="E31" s="1" t="n">
        <v>46307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8.6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26333-2022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44735</v>
      </c>
      <c r="E32" s="1" t="n">
        <v>46307</v>
      </c>
      <c r="F32" t="inlineStr">
        <is>
          <t>VÄSTRA GÖTALANDS LÄN</t>
        </is>
      </c>
      <c r="G32" t="inlineStr">
        <is>
          <t>GULLSPÅNG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46307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44621</v>
      </c>
      <c r="E34" s="1" t="n">
        <v>46307</v>
      </c>
      <c r="F34" t="inlineStr">
        <is>
          <t>VÄSTRA GÖTALANDS LÄN</t>
        </is>
      </c>
      <c r="G34" t="inlineStr">
        <is>
          <t>GULLSPÅNG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46307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44396-2024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45573</v>
      </c>
      <c r="E36" s="1" t="n">
        <v>46307</v>
      </c>
      <c r="F36" t="inlineStr">
        <is>
          <t>VÄSTRA GÖTALANDS LÄN</t>
        </is>
      </c>
      <c r="G36" t="inlineStr">
        <is>
          <t>GULLSPÅNG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64722-2023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46307</v>
      </c>
      <c r="F37" t="inlineStr">
        <is>
          <t>VÄSTRA GÖTALANDS LÄN</t>
        </is>
      </c>
      <c r="G37" t="inlineStr">
        <is>
          <t>GULLSPÅNG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46307</v>
      </c>
      <c r="F38" t="inlineStr">
        <is>
          <t>VÄSTRA GÖTALANDS LÄN</t>
        </is>
      </c>
      <c r="G38" t="inlineStr">
        <is>
          <t>GULLSPÅNG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45001</v>
      </c>
      <c r="E39" s="1" t="n">
        <v>46307</v>
      </c>
      <c r="F39" t="inlineStr">
        <is>
          <t>VÄSTRA GÖTALANDS LÄN</t>
        </is>
      </c>
      <c r="G39" t="inlineStr">
        <is>
          <t>GULLSPÅNG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32624-2023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45111</v>
      </c>
      <c r="E40" s="1" t="n">
        <v>46307</v>
      </c>
      <c r="F40" t="inlineStr">
        <is>
          <t>VÄSTRA GÖTALANDS LÄN</t>
        </is>
      </c>
      <c r="G40" t="inlineStr">
        <is>
          <t>GULLSPÅNG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46307</v>
      </c>
      <c r="F41" t="inlineStr">
        <is>
          <t>VÄSTRA GÖTALANDS LÄN</t>
        </is>
      </c>
      <c r="G41" t="inlineStr">
        <is>
          <t>GULLSPÅNG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10419-2024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45365</v>
      </c>
      <c r="E42" s="1" t="n">
        <v>46307</v>
      </c>
      <c r="F42" t="inlineStr">
        <is>
          <t>VÄSTRA GÖTALANDS LÄN</t>
        </is>
      </c>
      <c r="G42" t="inlineStr">
        <is>
          <t>GULLSPÅNG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46307</v>
      </c>
      <c r="F43" t="inlineStr">
        <is>
          <t>VÄSTRA GÖTALANDS LÄN</t>
        </is>
      </c>
      <c r="G43" t="inlineStr">
        <is>
          <t>GULLSPÅNG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46307</v>
      </c>
      <c r="F44" t="inlineStr">
        <is>
          <t>VÄSTRA GÖTALANDS LÄN</t>
        </is>
      </c>
      <c r="G44" t="inlineStr">
        <is>
          <t>GULLSPÅNG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45393</v>
      </c>
      <c r="E45" s="1" t="n">
        <v>46307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Kommuner</t>
        </is>
      </c>
      <c r="I45" t="n">
        <v>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35149-2022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44797</v>
      </c>
      <c r="E46" s="1" t="n">
        <v>46307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35426-2023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46307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46307</v>
      </c>
      <c r="F48" t="inlineStr">
        <is>
          <t>VÄSTRA GÖTALANDS LÄN</t>
        </is>
      </c>
      <c r="G48" t="inlineStr">
        <is>
          <t>GULLSPÅNG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44880</v>
      </c>
      <c r="E49" s="1" t="n">
        <v>46307</v>
      </c>
      <c r="F49" t="inlineStr">
        <is>
          <t>VÄSTRA GÖTALANDS LÄN</t>
        </is>
      </c>
      <c r="G49" t="inlineStr">
        <is>
          <t>GULLSPÅNG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44965</v>
      </c>
      <c r="E50" s="1" t="n">
        <v>46307</v>
      </c>
      <c r="F50" t="inlineStr">
        <is>
          <t>VÄSTRA GÖTALANDS LÄN</t>
        </is>
      </c>
      <c r="G50" t="inlineStr">
        <is>
          <t>GULLSPÅNG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45257</v>
      </c>
      <c r="E51" s="1" t="n">
        <v>46307</v>
      </c>
      <c r="F51" t="inlineStr">
        <is>
          <t>VÄSTRA GÖTALANDS LÄN</t>
        </is>
      </c>
      <c r="G51" t="inlineStr">
        <is>
          <t>GULLSPÅNG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46307</v>
      </c>
      <c r="F52" t="inlineStr">
        <is>
          <t>VÄSTRA GÖTALANDS LÄN</t>
        </is>
      </c>
      <c r="G52" t="inlineStr">
        <is>
          <t>GULLSPÅNG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10732-2024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45369</v>
      </c>
      <c r="E53" s="1" t="n">
        <v>46307</v>
      </c>
      <c r="F53" t="inlineStr">
        <is>
          <t>VÄSTRA GÖTALANDS LÄN</t>
        </is>
      </c>
      <c r="G53" t="inlineStr">
        <is>
          <t>GULLSPÅNG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27260-2024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45471</v>
      </c>
      <c r="E54" s="1" t="n">
        <v>46307</v>
      </c>
      <c r="F54" t="inlineStr">
        <is>
          <t>VÄSTRA GÖTALANDS LÄN</t>
        </is>
      </c>
      <c r="G54" t="inlineStr">
        <is>
          <t>GULLSPÅNG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42769-2022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44832</v>
      </c>
      <c r="E55" s="1" t="n">
        <v>46307</v>
      </c>
      <c r="F55" t="inlineStr">
        <is>
          <t>VÄSTRA GÖTALANDS LÄN</t>
        </is>
      </c>
      <c r="G55" t="inlineStr">
        <is>
          <t>GULLSPÅNG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45597</v>
      </c>
      <c r="E56" s="1" t="n">
        <v>46307</v>
      </c>
      <c r="F56" t="inlineStr">
        <is>
          <t>VÄSTRA GÖTALANDS LÄN</t>
        </is>
      </c>
      <c r="G56" t="inlineStr">
        <is>
          <t>GULLSPÅNG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44965</v>
      </c>
      <c r="E57" s="1" t="n">
        <v>46307</v>
      </c>
      <c r="F57" t="inlineStr">
        <is>
          <t>VÄSTRA GÖTALANDS LÄN</t>
        </is>
      </c>
      <c r="G57" t="inlineStr">
        <is>
          <t>GULLSPÅNG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45335</v>
      </c>
      <c r="E58" s="1" t="n">
        <v>46307</v>
      </c>
      <c r="F58" t="inlineStr">
        <is>
          <t>VÄSTRA GÖTALANDS LÄN</t>
        </is>
      </c>
      <c r="G58" t="inlineStr">
        <is>
          <t>GULLSPÅNG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46307</v>
      </c>
      <c r="F59" t="inlineStr">
        <is>
          <t>VÄSTRA GÖTALANDS LÄN</t>
        </is>
      </c>
      <c r="G59" t="inlineStr">
        <is>
          <t>GULLSPÅNG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60091-2023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45258</v>
      </c>
      <c r="E60" s="1" t="n">
        <v>46307</v>
      </c>
      <c r="F60" t="inlineStr">
        <is>
          <t>VÄSTRA GÖTALANDS LÄN</t>
        </is>
      </c>
      <c r="G60" t="inlineStr">
        <is>
          <t>GULLSPÅNG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61289-2023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46307</v>
      </c>
      <c r="F61" t="inlineStr">
        <is>
          <t>VÄSTRA GÖTALANDS LÄN</t>
        </is>
      </c>
      <c r="G61" t="inlineStr">
        <is>
          <t>GULLSPÅNG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46307</v>
      </c>
      <c r="F62" t="inlineStr">
        <is>
          <t>VÄSTRA GÖTALANDS LÄN</t>
        </is>
      </c>
      <c r="G62" t="inlineStr">
        <is>
          <t>GULLSPÅNG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45790</v>
      </c>
      <c r="E63" s="1" t="n">
        <v>46307</v>
      </c>
      <c r="F63" t="inlineStr">
        <is>
          <t>VÄSTRA GÖTALANDS LÄN</t>
        </is>
      </c>
      <c r="G63" t="inlineStr">
        <is>
          <t>GULLSPÅNG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29203-2023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45097</v>
      </c>
      <c r="E64" s="1" t="n">
        <v>46307</v>
      </c>
      <c r="F64" t="inlineStr">
        <is>
          <t>VÄSTRA GÖTALANDS LÄN</t>
        </is>
      </c>
      <c r="G64" t="inlineStr">
        <is>
          <t>GULLSPÅNG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44819</v>
      </c>
      <c r="E65" s="1" t="n">
        <v>46307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45621</v>
      </c>
      <c r="E66" s="1" t="n">
        <v>46307</v>
      </c>
      <c r="F66" t="inlineStr">
        <is>
          <t>VÄSTRA GÖTALANDS LÄN</t>
        </is>
      </c>
      <c r="G66" t="inlineStr">
        <is>
          <t>GULLSPÅNG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45170</v>
      </c>
      <c r="E67" s="1" t="n">
        <v>46307</v>
      </c>
      <c r="F67" t="inlineStr">
        <is>
          <t>VÄSTRA GÖTALANDS LÄN</t>
        </is>
      </c>
      <c r="G67" t="inlineStr">
        <is>
          <t>GULLSPÅNG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46307</v>
      </c>
      <c r="F68" t="inlineStr">
        <is>
          <t>VÄSTRA GÖTALANDS LÄN</t>
        </is>
      </c>
      <c r="G68" t="inlineStr">
        <is>
          <t>GULLSPÅNG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45705</v>
      </c>
      <c r="E69" s="1" t="n">
        <v>46307</v>
      </c>
      <c r="F69" t="inlineStr">
        <is>
          <t>VÄSTRA GÖTALANDS LÄN</t>
        </is>
      </c>
      <c r="G69" t="inlineStr">
        <is>
          <t>GULLSPÅNG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46307</v>
      </c>
      <c r="F70" t="inlineStr">
        <is>
          <t>VÄSTRA GÖTALANDS LÄN</t>
        </is>
      </c>
      <c r="G70" t="inlineStr">
        <is>
          <t>GULLSPÅNG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45281</v>
      </c>
      <c r="E71" s="1" t="n">
        <v>46307</v>
      </c>
      <c r="F71" t="inlineStr">
        <is>
          <t>VÄSTRA GÖTALANDS LÄN</t>
        </is>
      </c>
      <c r="G71" t="inlineStr">
        <is>
          <t>GULLSPÅNG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32564-2023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45111</v>
      </c>
      <c r="E72" s="1" t="n">
        <v>46307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53360-2022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46307</v>
      </c>
      <c r="F73" t="inlineStr">
        <is>
          <t>VÄSTRA GÖTALANDS LÄN</t>
        </is>
      </c>
      <c r="G73" t="inlineStr">
        <is>
          <t>GULLSPÅNG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46307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Kommuner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44778</v>
      </c>
      <c r="E75" s="1" t="n">
        <v>46307</v>
      </c>
      <c r="F75" t="inlineStr">
        <is>
          <t>VÄSTRA GÖTALANDS LÄN</t>
        </is>
      </c>
      <c r="G75" t="inlineStr">
        <is>
          <t>GULLSPÅNG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64350-2023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46307</v>
      </c>
      <c r="F76" t="inlineStr">
        <is>
          <t>VÄSTRA GÖTALANDS LÄN</t>
        </is>
      </c>
      <c r="G76" t="inlineStr">
        <is>
          <t>GULLSPÅNG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46307</v>
      </c>
      <c r="F77" t="inlineStr">
        <is>
          <t>VÄSTRA GÖTALANDS LÄN</t>
        </is>
      </c>
      <c r="G77" t="inlineStr">
        <is>
          <t>GULLSPÅNG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46307</v>
      </c>
      <c r="F78" t="inlineStr">
        <is>
          <t>VÄSTRA GÖTALANDS LÄN</t>
        </is>
      </c>
      <c r="G78" t="inlineStr">
        <is>
          <t>GULLSPÅNG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63039-2023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45272</v>
      </c>
      <c r="E79" s="1" t="n">
        <v>46307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46307</v>
      </c>
      <c r="F80" t="inlineStr">
        <is>
          <t>VÄSTRA GÖTALANDS LÄN</t>
        </is>
      </c>
      <c r="G80" t="inlineStr">
        <is>
          <t>GULLSPÅNG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35186-2024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46307</v>
      </c>
      <c r="F81" t="inlineStr">
        <is>
          <t>VÄSTRA GÖTALANDS LÄN</t>
        </is>
      </c>
      <c r="G81" t="inlineStr">
        <is>
          <t>GULLSPÅNG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46307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46307</v>
      </c>
      <c r="F83" t="inlineStr">
        <is>
          <t>VÄSTRA GÖTALANDS LÄN</t>
        </is>
      </c>
      <c r="G83" t="inlineStr">
        <is>
          <t>GULLSPÅNG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45075</v>
      </c>
      <c r="E84" s="1" t="n">
        <v>46307</v>
      </c>
      <c r="F84" t="inlineStr">
        <is>
          <t>VÄSTRA GÖTALANDS LÄN</t>
        </is>
      </c>
      <c r="G84" t="inlineStr">
        <is>
          <t>GULLSPÅNG</t>
        </is>
      </c>
      <c r="I84" t="n">
        <v>8.800000000000001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10389-2025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45720</v>
      </c>
      <c r="E85" s="1" t="n">
        <v>46307</v>
      </c>
      <c r="F85" t="inlineStr">
        <is>
          <t>VÄSTRA GÖTALANDS LÄN</t>
        </is>
      </c>
      <c r="G85" t="inlineStr">
        <is>
          <t>GULLSPÅNG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11818-2025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45728</v>
      </c>
      <c r="E86" s="1" t="n">
        <v>46307</v>
      </c>
      <c r="F86" t="inlineStr">
        <is>
          <t>VÄSTRA GÖTALANDS LÄN</t>
        </is>
      </c>
      <c r="G86" t="inlineStr">
        <is>
          <t>GULLSPÅNG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46307</v>
      </c>
      <c r="F87" t="inlineStr">
        <is>
          <t>VÄSTRA GÖTALANDS LÄN</t>
        </is>
      </c>
      <c r="G87" t="inlineStr">
        <is>
          <t>GULLSPÅNG</t>
        </is>
      </c>
      <c r="I87" t="n">
        <v>11.8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47189-2025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45930</v>
      </c>
      <c r="E88" s="1" t="n">
        <v>46307</v>
      </c>
      <c r="F88" t="inlineStr">
        <is>
          <t>VÄSTRA GÖTALANDS LÄN</t>
        </is>
      </c>
      <c r="G88" t="inlineStr">
        <is>
          <t>GULLSPÅNG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46307</v>
      </c>
      <c r="F89" t="inlineStr">
        <is>
          <t>VÄSTRA GÖTALANDS LÄN</t>
        </is>
      </c>
      <c r="G89" t="inlineStr">
        <is>
          <t>GULLSPÅNG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46307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45533</v>
      </c>
      <c r="E91" s="1" t="n">
        <v>46307</v>
      </c>
      <c r="F91" t="inlineStr">
        <is>
          <t>VÄSTRA GÖTALANDS LÄN</t>
        </is>
      </c>
      <c r="G91" t="inlineStr">
        <is>
          <t>GULLSPÅNG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45398</v>
      </c>
      <c r="E92" s="1" t="n">
        <v>46307</v>
      </c>
      <c r="F92" t="inlineStr">
        <is>
          <t>VÄSTRA GÖTALANDS LÄN</t>
        </is>
      </c>
      <c r="G92" t="inlineStr">
        <is>
          <t>GULLSPÅNG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56517-2024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45625</v>
      </c>
      <c r="E93" s="1" t="n">
        <v>46307</v>
      </c>
      <c r="F93" t="inlineStr">
        <is>
          <t>VÄSTRA GÖTALANDS LÄN</t>
        </is>
      </c>
      <c r="G93" t="inlineStr">
        <is>
          <t>GULLSPÅNG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56531-2024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46307</v>
      </c>
      <c r="F94" t="inlineStr">
        <is>
          <t>VÄSTRA GÖTALANDS LÄN</t>
        </is>
      </c>
      <c r="G94" t="inlineStr">
        <is>
          <t>GULLSPÅNG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46307</v>
      </c>
      <c r="F95" t="inlineStr">
        <is>
          <t>VÄSTRA GÖTALANDS LÄN</t>
        </is>
      </c>
      <c r="G95" t="inlineStr">
        <is>
          <t>GULLSPÅNG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46307</v>
      </c>
      <c r="F96" t="inlineStr">
        <is>
          <t>VÄSTRA GÖTALANDS LÄN</t>
        </is>
      </c>
      <c r="G96" t="inlineStr">
        <is>
          <t>GULLSPÅNG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45247</v>
      </c>
      <c r="E97" s="1" t="n">
        <v>46307</v>
      </c>
      <c r="F97" t="inlineStr">
        <is>
          <t>VÄSTRA GÖTALANDS LÄN</t>
        </is>
      </c>
      <c r="G97" t="inlineStr">
        <is>
          <t>GULLSPÅNG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44897</v>
      </c>
      <c r="E98" s="1" t="n">
        <v>46307</v>
      </c>
      <c r="F98" t="inlineStr">
        <is>
          <t>VÄSTRA GÖTALANDS LÄN</t>
        </is>
      </c>
      <c r="G98" t="inlineStr">
        <is>
          <t>GULLSPÅNG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46307</v>
      </c>
      <c r="F99" t="inlineStr">
        <is>
          <t>VÄSTRA GÖTALANDS LÄN</t>
        </is>
      </c>
      <c r="G99" t="inlineStr">
        <is>
          <t>GULLSPÅNG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45555</v>
      </c>
      <c r="E100" s="1" t="n">
        <v>46307</v>
      </c>
      <c r="F100" t="inlineStr">
        <is>
          <t>VÄSTRA GÖTALANDS LÄN</t>
        </is>
      </c>
      <c r="G100" t="inlineStr">
        <is>
          <t>GULLSPÅNG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46307</v>
      </c>
      <c r="F101" t="inlineStr">
        <is>
          <t>VÄSTRA GÖTALANDS LÄN</t>
        </is>
      </c>
      <c r="G101" t="inlineStr">
        <is>
          <t>GULLSPÅNG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46307</v>
      </c>
      <c r="F102" t="inlineStr">
        <is>
          <t>VÄSTRA GÖTALANDS LÄN</t>
        </is>
      </c>
      <c r="G102" t="inlineStr">
        <is>
          <t>GULLSPÅNG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46307</v>
      </c>
      <c r="F103" t="inlineStr">
        <is>
          <t>VÄSTRA GÖTALANDS LÄN</t>
        </is>
      </c>
      <c r="G103" t="inlineStr">
        <is>
          <t>GULLSPÅNG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20545-2024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45436</v>
      </c>
      <c r="E104" s="1" t="n">
        <v>46307</v>
      </c>
      <c r="F104" t="inlineStr">
        <is>
          <t>VÄSTRA GÖTALANDS LÄN</t>
        </is>
      </c>
      <c r="G104" t="inlineStr">
        <is>
          <t>GULLSPÅNG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43105-2024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46307</v>
      </c>
      <c r="F105" t="inlineStr">
        <is>
          <t>VÄSTRA GÖTALANDS LÄN</t>
        </is>
      </c>
      <c r="G105" t="inlineStr">
        <is>
          <t>GULLSPÅNG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49920-2024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46307</v>
      </c>
      <c r="F106" t="inlineStr">
        <is>
          <t>VÄSTRA GÖTALANDS LÄN</t>
        </is>
      </c>
      <c r="G106" t="inlineStr">
        <is>
          <t>GULLSPÅNG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45559</v>
      </c>
      <c r="E107" s="1" t="n">
        <v>46307</v>
      </c>
      <c r="F107" t="inlineStr">
        <is>
          <t>VÄSTRA GÖTALANDS LÄN</t>
        </is>
      </c>
      <c r="G107" t="inlineStr">
        <is>
          <t>GULLSPÅNG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46307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45569</v>
      </c>
      <c r="E109" s="1" t="n">
        <v>46307</v>
      </c>
      <c r="F109" t="inlineStr">
        <is>
          <t>VÄSTRA GÖTALANDS LÄN</t>
        </is>
      </c>
      <c r="G109" t="inlineStr">
        <is>
          <t>GULLSPÅNG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27379-2025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46307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50736-2025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46307</v>
      </c>
      <c r="F111" t="inlineStr">
        <is>
          <t>VÄSTRA GÖTALANDS LÄN</t>
        </is>
      </c>
      <c r="G111" t="inlineStr">
        <is>
          <t>GULLSPÅNG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16910-2024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45411</v>
      </c>
      <c r="E112" s="1" t="n">
        <v>46307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46307</v>
      </c>
      <c r="F113" t="inlineStr">
        <is>
          <t>VÄSTRA GÖTALANDS LÄN</t>
        </is>
      </c>
      <c r="G113" t="inlineStr">
        <is>
          <t>GULLSPÅNG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46307</v>
      </c>
      <c r="F114" t="inlineStr">
        <is>
          <t>VÄSTRA GÖTALANDS LÄN</t>
        </is>
      </c>
      <c r="G114" t="inlineStr">
        <is>
          <t>GULLSPÅNG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46307</v>
      </c>
      <c r="F115" t="inlineStr">
        <is>
          <t>VÄSTRA GÖTALANDS LÄN</t>
        </is>
      </c>
      <c r="G115" t="inlineStr">
        <is>
          <t>GULLSPÅNG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45273</v>
      </c>
      <c r="E116" s="1" t="n">
        <v>46307</v>
      </c>
      <c r="F116" t="inlineStr">
        <is>
          <t>VÄSTRA GÖTALANDS LÄN</t>
        </is>
      </c>
      <c r="G116" t="inlineStr">
        <is>
          <t>GULLSPÅNG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46307</v>
      </c>
      <c r="F117" t="inlineStr">
        <is>
          <t>VÄSTRA GÖTALANDS LÄN</t>
        </is>
      </c>
      <c r="G117" t="inlineStr">
        <is>
          <t>GULLSPÅNG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45947</v>
      </c>
      <c r="E118" s="1" t="n">
        <v>46307</v>
      </c>
      <c r="F118" t="inlineStr">
        <is>
          <t>VÄSTRA GÖTALANDS LÄN</t>
        </is>
      </c>
      <c r="G118" t="inlineStr">
        <is>
          <t>GULLSPÅNG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46307</v>
      </c>
      <c r="F119" t="inlineStr">
        <is>
          <t>VÄSTRA GÖTALANDS LÄN</t>
        </is>
      </c>
      <c r="G119" t="inlineStr">
        <is>
          <t>GULLSPÅNG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46307</v>
      </c>
      <c r="F120" t="inlineStr">
        <is>
          <t>VÄSTRA GÖTALANDS LÄN</t>
        </is>
      </c>
      <c r="G120" t="inlineStr">
        <is>
          <t>GULLSPÅNG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46307</v>
      </c>
      <c r="F121" t="inlineStr">
        <is>
          <t>VÄSTRA GÖTALANDS LÄN</t>
        </is>
      </c>
      <c r="G121" t="inlineStr">
        <is>
          <t>GULLSPÅNG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46307</v>
      </c>
      <c r="F122" t="inlineStr">
        <is>
          <t>VÄSTRA GÖTALANDS LÄN</t>
        </is>
      </c>
      <c r="G122" t="inlineStr">
        <is>
          <t>GULLSPÅNG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46307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45146</v>
      </c>
      <c r="E124" s="1" t="n">
        <v>46307</v>
      </c>
      <c r="F124" t="inlineStr">
        <is>
          <t>VÄSTRA GÖTALANDS LÄN</t>
        </is>
      </c>
      <c r="G124" t="inlineStr">
        <is>
          <t>GULLSPÅNG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18685-2025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45763</v>
      </c>
      <c r="E125" s="1" t="n">
        <v>46307</v>
      </c>
      <c r="F125" t="inlineStr">
        <is>
          <t>VÄSTRA GÖTALANDS LÄN</t>
        </is>
      </c>
      <c r="G125" t="inlineStr">
        <is>
          <t>GULLSPÅNG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46307</v>
      </c>
      <c r="F126" t="inlineStr">
        <is>
          <t>VÄSTRA GÖTALANDS LÄN</t>
        </is>
      </c>
      <c r="G126" t="inlineStr">
        <is>
          <t>GULLSPÅNG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46307</v>
      </c>
      <c r="F127" t="inlineStr">
        <is>
          <t>VÄSTRA GÖTALANDS LÄN</t>
        </is>
      </c>
      <c r="G127" t="inlineStr">
        <is>
          <t>GULLSPÅNG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45162</v>
      </c>
      <c r="E128" s="1" t="n">
        <v>46307</v>
      </c>
      <c r="F128" t="inlineStr">
        <is>
          <t>VÄSTRA GÖTALANDS LÄN</t>
        </is>
      </c>
      <c r="G128" t="inlineStr">
        <is>
          <t>GULLSPÅNG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45251</v>
      </c>
      <c r="E129" s="1" t="n">
        <v>46307</v>
      </c>
      <c r="F129" t="inlineStr">
        <is>
          <t>VÄSTRA GÖTALANDS LÄN</t>
        </is>
      </c>
      <c r="G129" t="inlineStr">
        <is>
          <t>GULLSPÅNG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44746</v>
      </c>
      <c r="E130" s="1" t="n">
        <v>46307</v>
      </c>
      <c r="F130" t="inlineStr">
        <is>
          <t>VÄSTRA GÖTALANDS LÄN</t>
        </is>
      </c>
      <c r="G130" t="inlineStr">
        <is>
          <t>GULLSPÅNG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59193-2024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45636</v>
      </c>
      <c r="E131" s="1" t="n">
        <v>46307</v>
      </c>
      <c r="F131" t="inlineStr">
        <is>
          <t>VÄSTRA GÖTALANDS LÄN</t>
        </is>
      </c>
      <c r="G131" t="inlineStr">
        <is>
          <t>GULLSPÅNG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45714</v>
      </c>
      <c r="E132" s="1" t="n">
        <v>46307</v>
      </c>
      <c r="F132" t="inlineStr">
        <is>
          <t>VÄSTRA GÖTALANDS LÄN</t>
        </is>
      </c>
      <c r="G132" t="inlineStr">
        <is>
          <t>GULLSPÅNG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46307</v>
      </c>
      <c r="F133" t="inlineStr">
        <is>
          <t>VÄSTRA GÖTALANDS LÄN</t>
        </is>
      </c>
      <c r="G133" t="inlineStr">
        <is>
          <t>GULLSPÅNG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46307</v>
      </c>
      <c r="F134" t="inlineStr">
        <is>
          <t>VÄSTRA GÖTALANDS LÄN</t>
        </is>
      </c>
      <c r="G134" t="inlineStr">
        <is>
          <t>GULLSPÅNG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11809-2025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45727</v>
      </c>
      <c r="E135" s="1" t="n">
        <v>46307</v>
      </c>
      <c r="F135" t="inlineStr">
        <is>
          <t>VÄSTRA GÖTALANDS LÄN</t>
        </is>
      </c>
      <c r="G135" t="inlineStr">
        <is>
          <t>GULLSPÅNG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46307</v>
      </c>
      <c r="F136" t="inlineStr">
        <is>
          <t>VÄSTRA GÖTALANDS LÄN</t>
        </is>
      </c>
      <c r="G136" t="inlineStr">
        <is>
          <t>GULLSPÅNG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11805-2025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45727</v>
      </c>
      <c r="E137" s="1" t="n">
        <v>46307</v>
      </c>
      <c r="F137" t="inlineStr">
        <is>
          <t>VÄSTRA GÖTALANDS LÄN</t>
        </is>
      </c>
      <c r="G137" t="inlineStr">
        <is>
          <t>GULLSPÅNG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46307</v>
      </c>
      <c r="F138" t="inlineStr">
        <is>
          <t>VÄSTRA GÖTALANDS LÄN</t>
        </is>
      </c>
      <c r="G138" t="inlineStr">
        <is>
          <t>GULLSPÅNG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26441-2022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44738</v>
      </c>
      <c r="E139" s="1" t="n">
        <v>46307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11827-2025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45728</v>
      </c>
      <c r="E140" s="1" t="n">
        <v>46307</v>
      </c>
      <c r="F140" t="inlineStr">
        <is>
          <t>VÄSTRA GÖTALANDS LÄN</t>
        </is>
      </c>
      <c r="G140" t="inlineStr">
        <is>
          <t>GULLSPÅNG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650-2024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45299</v>
      </c>
      <c r="E141" s="1" t="n">
        <v>46307</v>
      </c>
      <c r="F141" t="inlineStr">
        <is>
          <t>VÄSTRA GÖTALANDS LÄN</t>
        </is>
      </c>
      <c r="G141" t="inlineStr">
        <is>
          <t>GULLSPÅNG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46307</v>
      </c>
      <c r="F142" t="inlineStr">
        <is>
          <t>VÄSTRA GÖTALANDS LÄN</t>
        </is>
      </c>
      <c r="G142" t="inlineStr">
        <is>
          <t>GULLSPÅNG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46307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50587-2022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44861</v>
      </c>
      <c r="E144" s="1" t="n">
        <v>46307</v>
      </c>
      <c r="F144" t="inlineStr">
        <is>
          <t>VÄSTRA GÖTALANDS LÄN</t>
        </is>
      </c>
      <c r="G144" t="inlineStr">
        <is>
          <t>GULLSPÅNG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46307</v>
      </c>
      <c r="F145" t="inlineStr">
        <is>
          <t>VÄSTRA GÖTALANDS LÄN</t>
        </is>
      </c>
      <c r="G145" t="inlineStr">
        <is>
          <t>GULLSPÅNG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56479-2024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46307</v>
      </c>
      <c r="F146" t="inlineStr">
        <is>
          <t>VÄSTRA GÖTALANDS LÄN</t>
        </is>
      </c>
      <c r="G146" t="inlineStr">
        <is>
          <t>GULLSPÅNG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45337</v>
      </c>
      <c r="E147" s="1" t="n">
        <v>46307</v>
      </c>
      <c r="F147" t="inlineStr">
        <is>
          <t>VÄSTRA GÖTALANDS LÄN</t>
        </is>
      </c>
      <c r="G147" t="inlineStr">
        <is>
          <t>GULLSPÅNG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37920-2025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46307</v>
      </c>
      <c r="F148" t="inlineStr">
        <is>
          <t>VÄSTRA GÖTALANDS LÄN</t>
        </is>
      </c>
      <c r="G148" t="inlineStr">
        <is>
          <t>GULLSPÅNG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59864-2024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45639</v>
      </c>
      <c r="E149" s="1" t="n">
        <v>46307</v>
      </c>
      <c r="F149" t="inlineStr">
        <is>
          <t>VÄSTRA GÖTALANDS LÄN</t>
        </is>
      </c>
      <c r="G149" t="inlineStr">
        <is>
          <t>GULLSPÅNG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46307</v>
      </c>
      <c r="F150" t="inlineStr">
        <is>
          <t>VÄSTRA GÖTALANDS LÄN</t>
        </is>
      </c>
      <c r="G150" t="inlineStr">
        <is>
          <t>GULLSPÅNG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45531</v>
      </c>
      <c r="E151" s="1" t="n">
        <v>46307</v>
      </c>
      <c r="F151" t="inlineStr">
        <is>
          <t>VÄSTRA GÖTALANDS LÄN</t>
        </is>
      </c>
      <c r="G151" t="inlineStr">
        <is>
          <t>GULLSPÅNG</t>
        </is>
      </c>
      <c r="I151" t="n">
        <v>14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45296</v>
      </c>
      <c r="E152" s="1" t="n">
        <v>46307</v>
      </c>
      <c r="F152" t="inlineStr">
        <is>
          <t>VÄSTRA GÖTALANDS LÄN</t>
        </is>
      </c>
      <c r="G152" t="inlineStr">
        <is>
          <t>GULLSPÅNG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46307</v>
      </c>
      <c r="F153" t="inlineStr">
        <is>
          <t>VÄSTRA GÖTALANDS LÄN</t>
        </is>
      </c>
      <c r="G153" t="inlineStr">
        <is>
          <t>GULLSPÅNG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45509</v>
      </c>
      <c r="E154" s="1" t="n">
        <v>46307</v>
      </c>
      <c r="F154" t="inlineStr">
        <is>
          <t>VÄSTRA GÖTALANDS LÄN</t>
        </is>
      </c>
      <c r="G154" t="inlineStr">
        <is>
          <t>GULLSPÅNG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44847</v>
      </c>
      <c r="E155" s="1" t="n">
        <v>46307</v>
      </c>
      <c r="F155" t="inlineStr">
        <is>
          <t>VÄSTRA GÖTALANDS LÄN</t>
        </is>
      </c>
      <c r="G155" t="inlineStr">
        <is>
          <t>GULLSPÅNG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45448</v>
      </c>
      <c r="E156" s="1" t="n">
        <v>46307</v>
      </c>
      <c r="F156" t="inlineStr">
        <is>
          <t>VÄSTRA GÖTALANDS LÄN</t>
        </is>
      </c>
      <c r="G156" t="inlineStr">
        <is>
          <t>GULLSPÅNG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16093-2026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46108</v>
      </c>
      <c r="E157" s="1" t="n">
        <v>46307</v>
      </c>
      <c r="F157" t="inlineStr">
        <is>
          <t>VÄSTRA GÖTALANDS LÄN</t>
        </is>
      </c>
      <c r="G157" t="inlineStr">
        <is>
          <t>GULLSPÅNG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46307</v>
      </c>
      <c r="F158" t="inlineStr">
        <is>
          <t>VÄSTRA GÖTALANDS LÄN</t>
        </is>
      </c>
      <c r="G158" t="inlineStr">
        <is>
          <t>GULLSPÅNG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46307</v>
      </c>
      <c r="F159" t="inlineStr">
        <is>
          <t>VÄSTRA GÖTALANDS LÄN</t>
        </is>
      </c>
      <c r="G159" t="inlineStr">
        <is>
          <t>GULLSPÅNG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61356-2025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46307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46307</v>
      </c>
      <c r="F161" t="inlineStr">
        <is>
          <t>VÄSTRA GÖTALANDS LÄN</t>
        </is>
      </c>
      <c r="G161" t="inlineStr">
        <is>
          <t>GULLSPÅNG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46002</v>
      </c>
      <c r="E162" s="1" t="n">
        <v>46307</v>
      </c>
      <c r="F162" t="inlineStr">
        <is>
          <t>VÄSTRA GÖTALANDS LÄN</t>
        </is>
      </c>
      <c r="G162" t="inlineStr">
        <is>
          <t>GULLSPÅNG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46307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46307</v>
      </c>
      <c r="F164" t="inlineStr">
        <is>
          <t>VÄSTRA GÖTALANDS LÄN</t>
        </is>
      </c>
      <c r="G164" t="inlineStr">
        <is>
          <t>GULLSPÅNG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37197-2023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45155</v>
      </c>
      <c r="E165" s="1" t="n">
        <v>46307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46307</v>
      </c>
      <c r="F166" t="inlineStr">
        <is>
          <t>VÄSTRA GÖTALANDS LÄN</t>
        </is>
      </c>
      <c r="G166" t="inlineStr">
        <is>
          <t>GULLSPÅNG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63556-2025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46013</v>
      </c>
      <c r="E167" s="1" t="n">
        <v>46307</v>
      </c>
      <c r="F167" t="inlineStr">
        <is>
          <t>VÄSTRA GÖTALANDS LÄN</t>
        </is>
      </c>
      <c r="G167" t="inlineStr">
        <is>
          <t>GULLSPÅNG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63405-2025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46012</v>
      </c>
      <c r="E168" s="1" t="n">
        <v>46307</v>
      </c>
      <c r="F168" t="inlineStr">
        <is>
          <t>VÄSTRA GÖTALANDS LÄN</t>
        </is>
      </c>
      <c r="G168" t="inlineStr">
        <is>
          <t>GULLSPÅNG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46012</v>
      </c>
      <c r="E169" s="1" t="n">
        <v>46307</v>
      </c>
      <c r="F169" t="inlineStr">
        <is>
          <t>VÄSTRA GÖTALANDS LÄN</t>
        </is>
      </c>
      <c r="G169" t="inlineStr">
        <is>
          <t>GULLSPÅNG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63407-2025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46012</v>
      </c>
      <c r="E170" s="1" t="n">
        <v>46307</v>
      </c>
      <c r="F170" t="inlineStr">
        <is>
          <t>VÄSTRA GÖTALANDS LÄN</t>
        </is>
      </c>
      <c r="G170" t="inlineStr">
        <is>
          <t>GULLSPÅNG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46307</v>
      </c>
      <c r="F171" t="inlineStr">
        <is>
          <t>VÄSTRA GÖTALANDS LÄN</t>
        </is>
      </c>
      <c r="G171" t="inlineStr">
        <is>
          <t>GULLSPÅNG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9483-2023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46307</v>
      </c>
      <c r="F172" t="inlineStr">
        <is>
          <t>VÄSTRA GÖTALANDS LÄN</t>
        </is>
      </c>
      <c r="G172" t="inlineStr">
        <is>
          <t>GULLSPÅNG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46307</v>
      </c>
      <c r="F173" t="inlineStr">
        <is>
          <t>VÄSTRA GÖTALANDS LÄN</t>
        </is>
      </c>
      <c r="G173" t="inlineStr">
        <is>
          <t>GULLSPÅNG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2314-2026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46034</v>
      </c>
      <c r="E174" s="1" t="n">
        <v>46307</v>
      </c>
      <c r="F174" t="inlineStr">
        <is>
          <t>VÄSTRA GÖTALANDS LÄN</t>
        </is>
      </c>
      <c r="G174" t="inlineStr">
        <is>
          <t>GULLSPÅNG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46034</v>
      </c>
      <c r="E175" s="1" t="n">
        <v>46307</v>
      </c>
      <c r="F175" t="inlineStr">
        <is>
          <t>VÄSTRA GÖTALANDS LÄN</t>
        </is>
      </c>
      <c r="G175" t="inlineStr">
        <is>
          <t>GULLSPÅNG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46307</v>
      </c>
      <c r="F176" t="inlineStr">
        <is>
          <t>VÄSTRA GÖTALANDS LÄN</t>
        </is>
      </c>
      <c r="G176" t="inlineStr">
        <is>
          <t>GULLSPÅNG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46307</v>
      </c>
      <c r="F177" t="inlineStr">
        <is>
          <t>VÄSTRA GÖTALANDS LÄN</t>
        </is>
      </c>
      <c r="G177" t="inlineStr">
        <is>
          <t>GULLSPÅNG</t>
        </is>
      </c>
      <c r="I177" t="n">
        <v>10.2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55163-2023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46307</v>
      </c>
      <c r="F178" t="inlineStr">
        <is>
          <t>VÄSTRA GÖTALANDS LÄN</t>
        </is>
      </c>
      <c r="G178" t="inlineStr">
        <is>
          <t>GULLSPÅNG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46307</v>
      </c>
      <c r="F179" t="inlineStr">
        <is>
          <t>VÄSTRA GÖTALANDS LÄN</t>
        </is>
      </c>
      <c r="G179" t="inlineStr">
        <is>
          <t>GULLSPÅNG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8794-2023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44978</v>
      </c>
      <c r="E180" s="1" t="n">
        <v>46307</v>
      </c>
      <c r="F180" t="inlineStr">
        <is>
          <t>VÄSTRA GÖTALANDS LÄN</t>
        </is>
      </c>
      <c r="G180" t="inlineStr">
        <is>
          <t>GULLSPÅNG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46307</v>
      </c>
      <c r="F181" t="inlineStr">
        <is>
          <t>VÄSTRA GÖTALANDS LÄN</t>
        </is>
      </c>
      <c r="G181" t="inlineStr">
        <is>
          <t>GULLSPÅNG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44999</v>
      </c>
      <c r="E182" s="1" t="n">
        <v>46307</v>
      </c>
      <c r="F182" t="inlineStr">
        <is>
          <t>VÄSTRA GÖTALANDS LÄN</t>
        </is>
      </c>
      <c r="G182" t="inlineStr">
        <is>
          <t>GULLSPÅNG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7396-2026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46307</v>
      </c>
      <c r="F183" t="inlineStr">
        <is>
          <t>VÄSTRA GÖTALANDS LÄN</t>
        </is>
      </c>
      <c r="G183" t="inlineStr">
        <is>
          <t>GULLSPÅNG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7818-2026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46307</v>
      </c>
      <c r="F184" t="inlineStr">
        <is>
          <t>VÄSTRA GÖTALANDS LÄN</t>
        </is>
      </c>
      <c r="G184" t="inlineStr">
        <is>
          <t>GULLSPÅNG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46070</v>
      </c>
      <c r="E185" s="1" t="n">
        <v>46307</v>
      </c>
      <c r="F185" t="inlineStr">
        <is>
          <t>VÄSTRA GÖTALANDS LÄN</t>
        </is>
      </c>
      <c r="G185" t="inlineStr">
        <is>
          <t>GULLSPÅNG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46070</v>
      </c>
      <c r="E186" s="1" t="n">
        <v>46307</v>
      </c>
      <c r="F186" t="inlineStr">
        <is>
          <t>VÄSTRA GÖTALANDS LÄN</t>
        </is>
      </c>
      <c r="G186" t="inlineStr">
        <is>
          <t>GULLSPÅNG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9742-2026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46072</v>
      </c>
      <c r="E187" s="1" t="n">
        <v>46307</v>
      </c>
      <c r="F187" t="inlineStr">
        <is>
          <t>VÄSTRA GÖTALANDS LÄN</t>
        </is>
      </c>
      <c r="G187" t="inlineStr">
        <is>
          <t>GULLSPÅNG</t>
        </is>
      </c>
      <c r="H187" t="inlineStr">
        <is>
          <t>Kyrkan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46307</v>
      </c>
      <c r="F188" t="inlineStr">
        <is>
          <t>VÄSTRA GÖTALANDS LÄN</t>
        </is>
      </c>
      <c r="G188" t="inlineStr">
        <is>
          <t>GULLSPÅNG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11758-2026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46084</v>
      </c>
      <c r="E189" s="1" t="n">
        <v>46307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Kommuner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46307</v>
      </c>
      <c r="F190" t="inlineStr">
        <is>
          <t>VÄSTRA GÖTALANDS LÄN</t>
        </is>
      </c>
      <c r="G190" t="inlineStr">
        <is>
          <t>GULLSPÅNG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46307</v>
      </c>
      <c r="F191" t="inlineStr">
        <is>
          <t>VÄSTRA GÖTALANDS LÄN</t>
        </is>
      </c>
      <c r="G191" t="inlineStr">
        <is>
          <t>GULLSPÅNG</t>
        </is>
      </c>
      <c r="I191" t="n">
        <v>8.1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12070-2026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46086</v>
      </c>
      <c r="E192" s="1" t="n">
        <v>46307</v>
      </c>
      <c r="F192" t="inlineStr">
        <is>
          <t>VÄSTRA GÖTALANDS LÄN</t>
        </is>
      </c>
      <c r="G192" t="inlineStr">
        <is>
          <t>GULLSPÅNG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46307</v>
      </c>
      <c r="F193" t="inlineStr">
        <is>
          <t>VÄSTRA GÖTALANDS LÄN</t>
        </is>
      </c>
      <c r="G193" t="inlineStr">
        <is>
          <t>GULLSPÅNG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12272-2026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46307</v>
      </c>
      <c r="F194" t="inlineStr">
        <is>
          <t>VÄSTRA GÖTALANDS LÄN</t>
        </is>
      </c>
      <c r="G194" t="inlineStr">
        <is>
          <t>GULLSPÅNG</t>
        </is>
      </c>
      <c r="H194" t="inlineStr">
        <is>
          <t>Kyrkan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46307</v>
      </c>
      <c r="F195" t="inlineStr">
        <is>
          <t>VÄSTRA GÖTALANDS LÄN</t>
        </is>
      </c>
      <c r="G195" t="inlineStr">
        <is>
          <t>GULLSPÅNG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46307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24849-2026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46174</v>
      </c>
      <c r="E197" s="1" t="n">
        <v>46307</v>
      </c>
      <c r="F197" t="inlineStr">
        <is>
          <t>VÄSTRA GÖTALANDS LÄN</t>
        </is>
      </c>
      <c r="G197" t="inlineStr">
        <is>
          <t>GULLSPÅNG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46174</v>
      </c>
      <c r="E198" s="1" t="n">
        <v>46307</v>
      </c>
      <c r="F198" t="inlineStr">
        <is>
          <t>VÄSTRA GÖTALANDS LÄN</t>
        </is>
      </c>
      <c r="G198" t="inlineStr">
        <is>
          <t>GULLSPÅNG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46307</v>
      </c>
      <c r="F199" t="inlineStr">
        <is>
          <t>VÄSTRA GÖTALANDS LÄN</t>
        </is>
      </c>
      <c r="G199" t="inlineStr">
        <is>
          <t>GULLSPÅNG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46275</v>
      </c>
      <c r="E200" s="1" t="n">
        <v>46307</v>
      </c>
      <c r="F200" t="inlineStr">
        <is>
          <t>VÄSTRA GÖTALANDS LÄN</t>
        </is>
      </c>
      <c r="G200" t="inlineStr">
        <is>
          <t>GULLSPÅNG</t>
        </is>
      </c>
      <c r="I200" t="n">
        <v>7.4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46307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33139-2026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46245</v>
      </c>
      <c r="E202" s="1" t="n">
        <v>46307</v>
      </c>
      <c r="F202" t="inlineStr">
        <is>
          <t>VÄSTRA GÖTALANDS LÄN</t>
        </is>
      </c>
      <c r="G202" t="inlineStr">
        <is>
          <t>GULLSPÅNG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46289</v>
      </c>
      <c r="E203" s="1" t="n">
        <v>46307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46289</v>
      </c>
      <c r="E204" s="1" t="n">
        <v>46307</v>
      </c>
      <c r="F204" t="inlineStr">
        <is>
          <t>VÄSTRA GÖTALANDS LÄN</t>
        </is>
      </c>
      <c r="G204" t="inlineStr">
        <is>
          <t>GULLSPÅNG</t>
        </is>
      </c>
      <c r="H204" t="inlineStr">
        <is>
          <t>Kyrkan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46247</v>
      </c>
      <c r="E205" s="1" t="n">
        <v>46307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46252</v>
      </c>
      <c r="E206" s="1" t="n">
        <v>46307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Kyrkan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40829-2026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46295</v>
      </c>
      <c r="E207" s="1" t="n">
        <v>46307</v>
      </c>
      <c r="F207" t="inlineStr">
        <is>
          <t>VÄSTRA GÖTALANDS LÄN</t>
        </is>
      </c>
      <c r="G207" t="inlineStr">
        <is>
          <t>GULLSPÅNG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46307</v>
      </c>
      <c r="F208" t="inlineStr">
        <is>
          <t>VÄSTRA GÖTALANDS LÄN</t>
        </is>
      </c>
      <c r="G208" t="inlineStr">
        <is>
          <t>GULLSPÅNG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46307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34711-2026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46258</v>
      </c>
      <c r="E210" s="1" t="n">
        <v>46307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Kyrkan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46307</v>
      </c>
      <c r="F211" t="inlineStr">
        <is>
          <t>VÄSTRA GÖTALANDS LÄN</t>
        </is>
      </c>
      <c r="G211" t="inlineStr">
        <is>
          <t>GULLSPÅNG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46307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46307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46307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46307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2026-10-12T02:00:27Z</dcterms:created>
  <dcterms:modified xmlns:dcterms="http://purl.org/dc/terms/" xmlns:xsi="http://www.w3.org/2001/XMLSchema-instance" xsi:type="dcterms:W3CDTF">2026-10-12T02:00:27Z</dcterms:modified>
</cp:coreProperties>
</file>