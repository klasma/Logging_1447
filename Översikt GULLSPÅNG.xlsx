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45511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45511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66572-2019</t>
        </is>
      </c>
      <c r="B4" s="1" t="n">
        <v>43803</v>
      </c>
      <c r="C4" s="1" t="n">
        <v>45511</v>
      </c>
      <c r="D4" t="inlineStr">
        <is>
          <t>VÄSTRA GÖTALANDS LÄN</t>
        </is>
      </c>
      <c r="E4" t="inlineStr">
        <is>
          <t>GULLSPÅNG</t>
        </is>
      </c>
      <c r="G4" t="n">
        <v>14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Dropptaggsvamp</t>
        </is>
      </c>
      <c r="S4">
        <f>HYPERLINK("https://klasma.github.io/Logging_1447/artfynd/A 66572-2019 artfynd.xlsx", "A 66572-2019")</f>
        <v/>
      </c>
      <c r="T4">
        <f>HYPERLINK("https://klasma.github.io/Logging_1447/kartor/A 66572-2019 karta.png", "A 66572-2019")</f>
        <v/>
      </c>
      <c r="V4">
        <f>HYPERLINK("https://klasma.github.io/Logging_1447/klagomål/A 66572-2019 FSC-klagomål.docx", "A 66572-2019")</f>
        <v/>
      </c>
      <c r="W4">
        <f>HYPERLINK("https://klasma.github.io/Logging_1447/klagomålsmail/A 66572-2019 FSC-klagomål mail.docx", "A 66572-2019")</f>
        <v/>
      </c>
      <c r="X4">
        <f>HYPERLINK("https://klasma.github.io/Logging_1447/tillsyn/A 66572-2019 tillsynsbegäran.docx", "A 66572-2019")</f>
        <v/>
      </c>
      <c r="Y4">
        <f>HYPERLINK("https://klasma.github.io/Logging_1447/tillsynsmail/A 66572-2019 tillsynsbegäran mail.docx", "A 66572-2019")</f>
        <v/>
      </c>
    </row>
    <row r="5" ht="15" customHeight="1">
      <c r="A5" t="inlineStr">
        <is>
          <t>A 51309-2020</t>
        </is>
      </c>
      <c r="B5" s="1" t="n">
        <v>44112</v>
      </c>
      <c r="C5" s="1" t="n">
        <v>45511</v>
      </c>
      <c r="D5" t="inlineStr">
        <is>
          <t>VÄSTRA GÖTALANDS LÄN</t>
        </is>
      </c>
      <c r="E5" t="inlineStr">
        <is>
          <t>GULLSPÅNG</t>
        </is>
      </c>
      <c r="G5" t="n">
        <v>3.6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Grönpyrola</t>
        </is>
      </c>
      <c r="S5">
        <f>HYPERLINK("https://klasma.github.io/Logging_1447/artfynd/A 51309-2020 artfynd.xlsx", "A 51309-2020")</f>
        <v/>
      </c>
      <c r="T5">
        <f>HYPERLINK("https://klasma.github.io/Logging_1447/kartor/A 51309-2020 karta.png", "A 51309-2020")</f>
        <v/>
      </c>
      <c r="V5">
        <f>HYPERLINK("https://klasma.github.io/Logging_1447/klagomål/A 51309-2020 FSC-klagomål.docx", "A 51309-2020")</f>
        <v/>
      </c>
      <c r="W5">
        <f>HYPERLINK("https://klasma.github.io/Logging_1447/klagomålsmail/A 51309-2020 FSC-klagomål mail.docx", "A 51309-2020")</f>
        <v/>
      </c>
      <c r="X5">
        <f>HYPERLINK("https://klasma.github.io/Logging_1447/tillsyn/A 51309-2020 tillsynsbegäran.docx", "A 51309-2020")</f>
        <v/>
      </c>
      <c r="Y5">
        <f>HYPERLINK("https://klasma.github.io/Logging_1447/tillsynsmail/A 51309-2020 tillsynsbegäran mail.docx", "A 51309-2020")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45511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42776-2022</t>
        </is>
      </c>
      <c r="B7" s="1" t="n">
        <v>44832</v>
      </c>
      <c r="C7" s="1" t="n">
        <v>45511</v>
      </c>
      <c r="D7" t="inlineStr">
        <is>
          <t>VÄSTRA GÖTALANDS LÄN</t>
        </is>
      </c>
      <c r="E7" t="inlineStr">
        <is>
          <t>GULLSPÅNG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Svartnande kantarell</t>
        </is>
      </c>
      <c r="S7">
        <f>HYPERLINK("https://klasma.github.io/Logging_1447/artfynd/A 42776-2022 artfynd.xlsx", "A 42776-2022")</f>
        <v/>
      </c>
      <c r="T7">
        <f>HYPERLINK("https://klasma.github.io/Logging_1447/kartor/A 42776-2022 karta.png", "A 42776-2022")</f>
        <v/>
      </c>
      <c r="V7">
        <f>HYPERLINK("https://klasma.github.io/Logging_1447/klagomål/A 42776-2022 FSC-klagomål.docx", "A 42776-2022")</f>
        <v/>
      </c>
      <c r="W7">
        <f>HYPERLINK("https://klasma.github.io/Logging_1447/klagomålsmail/A 42776-2022 FSC-klagomål mail.docx", "A 42776-2022")</f>
        <v/>
      </c>
      <c r="X7">
        <f>HYPERLINK("https://klasma.github.io/Logging_1447/tillsyn/A 42776-2022 tillsynsbegäran.docx", "A 42776-2022")</f>
        <v/>
      </c>
      <c r="Y7">
        <f>HYPERLINK("https://klasma.github.io/Logging_1447/tillsynsmail/A 42776-2022 tillsynsbegäran mail.docx", "A 42776-2022")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45511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21641-2019</t>
        </is>
      </c>
      <c r="B9" s="1" t="n">
        <v>43581</v>
      </c>
      <c r="C9" s="1" t="n">
        <v>45511</v>
      </c>
      <c r="D9" t="inlineStr">
        <is>
          <t>VÄSTRA GÖTALANDS LÄN</t>
        </is>
      </c>
      <c r="E9" t="inlineStr">
        <is>
          <t>GULLSPÅNG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22973-2019</t>
        </is>
      </c>
      <c r="B10" s="1" t="n">
        <v>43589</v>
      </c>
      <c r="C10" s="1" t="n">
        <v>45511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26839-2019</t>
        </is>
      </c>
      <c r="B11" s="1" t="n">
        <v>43613</v>
      </c>
      <c r="C11" s="1" t="n">
        <v>45511</v>
      </c>
      <c r="D11" t="inlineStr">
        <is>
          <t>VÄSTRA GÖTALANDS LÄN</t>
        </is>
      </c>
      <c r="E11" t="inlineStr">
        <is>
          <t>GULLSPÅNG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27485-2019</t>
        </is>
      </c>
      <c r="B12" s="1" t="n">
        <v>43614</v>
      </c>
      <c r="C12" s="1" t="n">
        <v>45511</v>
      </c>
      <c r="D12" t="inlineStr">
        <is>
          <t>VÄSTRA GÖTALANDS LÄN</t>
        </is>
      </c>
      <c r="E12" t="inlineStr">
        <is>
          <t>GULLSPÅNG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28748-2019</t>
        </is>
      </c>
      <c r="B13" s="1" t="n">
        <v>43616</v>
      </c>
      <c r="C13" s="1" t="n">
        <v>45511</v>
      </c>
      <c r="D13" t="inlineStr">
        <is>
          <t>VÄSTRA GÖTALANDS LÄN</t>
        </is>
      </c>
      <c r="E13" t="inlineStr">
        <is>
          <t>GULLSPÅNG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30836-2019</t>
        </is>
      </c>
      <c r="B14" s="1" t="n">
        <v>43636</v>
      </c>
      <c r="C14" s="1" t="n">
        <v>45511</v>
      </c>
      <c r="D14" t="inlineStr">
        <is>
          <t>VÄSTRA GÖTALANDS LÄN</t>
        </is>
      </c>
      <c r="E14" t="inlineStr">
        <is>
          <t>GULLSPÅNG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36458-2019</t>
        </is>
      </c>
      <c r="B15" s="1" t="n">
        <v>43664</v>
      </c>
      <c r="C15" s="1" t="n">
        <v>45511</v>
      </c>
      <c r="D15" t="inlineStr">
        <is>
          <t>VÄSTRA GÖTALANDS LÄN</t>
        </is>
      </c>
      <c r="E15" t="inlineStr">
        <is>
          <t>GULLSPÅNG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36460-2019</t>
        </is>
      </c>
      <c r="B16" s="1" t="n">
        <v>43664</v>
      </c>
      <c r="C16" s="1" t="n">
        <v>45511</v>
      </c>
      <c r="D16" t="inlineStr">
        <is>
          <t>VÄSTRA GÖTALANDS LÄN</t>
        </is>
      </c>
      <c r="E16" t="inlineStr">
        <is>
          <t>GULLSPÅNG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37388-2019</t>
        </is>
      </c>
      <c r="B17" s="1" t="n">
        <v>43678</v>
      </c>
      <c r="C17" s="1" t="n">
        <v>45511</v>
      </c>
      <c r="D17" t="inlineStr">
        <is>
          <t>VÄSTRA GÖTALANDS LÄN</t>
        </is>
      </c>
      <c r="E17" t="inlineStr">
        <is>
          <t>GULLSPÅNG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37389-2019</t>
        </is>
      </c>
      <c r="B18" s="1" t="n">
        <v>43678</v>
      </c>
      <c r="C18" s="1" t="n">
        <v>45511</v>
      </c>
      <c r="D18" t="inlineStr">
        <is>
          <t>VÄSTRA GÖTALANDS LÄN</t>
        </is>
      </c>
      <c r="E18" t="inlineStr">
        <is>
          <t>GULLSPÅNG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39620-2019</t>
        </is>
      </c>
      <c r="B19" s="1" t="n">
        <v>43691</v>
      </c>
      <c r="C19" s="1" t="n">
        <v>45511</v>
      </c>
      <c r="D19" t="inlineStr">
        <is>
          <t>VÄSTRA GÖTALANDS LÄN</t>
        </is>
      </c>
      <c r="E19" t="inlineStr">
        <is>
          <t>GULLSPÅNG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39639-2019</t>
        </is>
      </c>
      <c r="B20" s="1" t="n">
        <v>43691</v>
      </c>
      <c r="C20" s="1" t="n">
        <v>45511</v>
      </c>
      <c r="D20" t="inlineStr">
        <is>
          <t>VÄSTRA GÖTALANDS LÄN</t>
        </is>
      </c>
      <c r="E20" t="inlineStr">
        <is>
          <t>GULLSPÅNG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39631-2019</t>
        </is>
      </c>
      <c r="B21" s="1" t="n">
        <v>43691</v>
      </c>
      <c r="C21" s="1" t="n">
        <v>45511</v>
      </c>
      <c r="D21" t="inlineStr">
        <is>
          <t>VÄSTRA GÖTALANDS LÄN</t>
        </is>
      </c>
      <c r="E21" t="inlineStr">
        <is>
          <t>GULLSPÅNG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39626-2019</t>
        </is>
      </c>
      <c r="B22" s="1" t="n">
        <v>43691</v>
      </c>
      <c r="C22" s="1" t="n">
        <v>45511</v>
      </c>
      <c r="D22" t="inlineStr">
        <is>
          <t>VÄSTRA GÖTALANDS LÄN</t>
        </is>
      </c>
      <c r="E22" t="inlineStr">
        <is>
          <t>GULLSPÅNG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39636-2019</t>
        </is>
      </c>
      <c r="B23" s="1" t="n">
        <v>43691</v>
      </c>
      <c r="C23" s="1" t="n">
        <v>45511</v>
      </c>
      <c r="D23" t="inlineStr">
        <is>
          <t>VÄSTRA GÖTALANDS LÄN</t>
        </is>
      </c>
      <c r="E23" t="inlineStr">
        <is>
          <t>GULLSPÅNG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40141-2019</t>
        </is>
      </c>
      <c r="B24" s="1" t="n">
        <v>43693</v>
      </c>
      <c r="C24" s="1" t="n">
        <v>45511</v>
      </c>
      <c r="D24" t="inlineStr">
        <is>
          <t>VÄSTRA GÖTALANDS LÄN</t>
        </is>
      </c>
      <c r="E24" t="inlineStr">
        <is>
          <t>GULLSPÅNG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40814-2019</t>
        </is>
      </c>
      <c r="B25" s="1" t="n">
        <v>43693</v>
      </c>
      <c r="C25" s="1" t="n">
        <v>45511</v>
      </c>
      <c r="D25" t="inlineStr">
        <is>
          <t>VÄSTRA GÖTALANDS LÄN</t>
        </is>
      </c>
      <c r="E25" t="inlineStr">
        <is>
          <t>GULLSPÅNG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40145-2019</t>
        </is>
      </c>
      <c r="B26" s="1" t="n">
        <v>43693</v>
      </c>
      <c r="C26" s="1" t="n">
        <v>45511</v>
      </c>
      <c r="D26" t="inlineStr">
        <is>
          <t>VÄSTRA GÖTALANDS LÄN</t>
        </is>
      </c>
      <c r="E26" t="inlineStr">
        <is>
          <t>GULLSPÅNG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42526-2019</t>
        </is>
      </c>
      <c r="B27" s="1" t="n">
        <v>43704</v>
      </c>
      <c r="C27" s="1" t="n">
        <v>45511</v>
      </c>
      <c r="D27" t="inlineStr">
        <is>
          <t>VÄSTRA GÖTALANDS LÄN</t>
        </is>
      </c>
      <c r="E27" t="inlineStr">
        <is>
          <t>GULLSPÅNG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42867-2019</t>
        </is>
      </c>
      <c r="B28" s="1" t="n">
        <v>43705</v>
      </c>
      <c r="C28" s="1" t="n">
        <v>45511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46753-2019</t>
        </is>
      </c>
      <c r="B29" s="1" t="n">
        <v>43718</v>
      </c>
      <c r="C29" s="1" t="n">
        <v>45511</v>
      </c>
      <c r="D29" t="inlineStr">
        <is>
          <t>VÄSTRA GÖTALANDS LÄN</t>
        </is>
      </c>
      <c r="E29" t="inlineStr">
        <is>
          <t>GULLSPÅNG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46581-2019</t>
        </is>
      </c>
      <c r="B30" s="1" t="n">
        <v>43719</v>
      </c>
      <c r="C30" s="1" t="n">
        <v>45511</v>
      </c>
      <c r="D30" t="inlineStr">
        <is>
          <t>VÄSTRA GÖTALANDS LÄN</t>
        </is>
      </c>
      <c r="E30" t="inlineStr">
        <is>
          <t>GULLSPÅNG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47981-2019</t>
        </is>
      </c>
      <c r="B31" s="1" t="n">
        <v>43725</v>
      </c>
      <c r="C31" s="1" t="n">
        <v>45511</v>
      </c>
      <c r="D31" t="inlineStr">
        <is>
          <t>VÄSTRA GÖTALANDS LÄN</t>
        </is>
      </c>
      <c r="E31" t="inlineStr">
        <is>
          <t>GULLSPÅNG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48425-2019</t>
        </is>
      </c>
      <c r="B32" s="1" t="n">
        <v>43726</v>
      </c>
      <c r="C32" s="1" t="n">
        <v>45511</v>
      </c>
      <c r="D32" t="inlineStr">
        <is>
          <t>VÄSTRA GÖTALANDS LÄN</t>
        </is>
      </c>
      <c r="E32" t="inlineStr">
        <is>
          <t>GULLSPÅNG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48419-2019</t>
        </is>
      </c>
      <c r="B33" s="1" t="n">
        <v>43726</v>
      </c>
      <c r="C33" s="1" t="n">
        <v>45511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49209-2019</t>
        </is>
      </c>
      <c r="B34" s="1" t="n">
        <v>43727</v>
      </c>
      <c r="C34" s="1" t="n">
        <v>45511</v>
      </c>
      <c r="D34" t="inlineStr">
        <is>
          <t>VÄSTRA GÖTALANDS LÄN</t>
        </is>
      </c>
      <c r="E34" t="inlineStr">
        <is>
          <t>GULLSPÅNG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49158-2019</t>
        </is>
      </c>
      <c r="B35" s="1" t="n">
        <v>43727</v>
      </c>
      <c r="C35" s="1" t="n">
        <v>45511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50095-2019</t>
        </is>
      </c>
      <c r="B36" s="1" t="n">
        <v>43734</v>
      </c>
      <c r="C36" s="1" t="n">
        <v>45511</v>
      </c>
      <c r="D36" t="inlineStr">
        <is>
          <t>VÄSTRA GÖTALANDS LÄN</t>
        </is>
      </c>
      <c r="E36" t="inlineStr">
        <is>
          <t>GULLSPÅNG</t>
        </is>
      </c>
      <c r="G36" t="n">
        <v>12.6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50076-2019</t>
        </is>
      </c>
      <c r="B37" s="1" t="n">
        <v>43734</v>
      </c>
      <c r="C37" s="1" t="n">
        <v>45511</v>
      </c>
      <c r="D37" t="inlineStr">
        <is>
          <t>VÄSTRA GÖTALANDS LÄN</t>
        </is>
      </c>
      <c r="E37" t="inlineStr">
        <is>
          <t>GULLSPÅNG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50643-2019</t>
        </is>
      </c>
      <c r="B38" s="1" t="n">
        <v>43737</v>
      </c>
      <c r="C38" s="1" t="n">
        <v>45511</v>
      </c>
      <c r="D38" t="inlineStr">
        <is>
          <t>VÄSTRA GÖTALANDS LÄN</t>
        </is>
      </c>
      <c r="E38" t="inlineStr">
        <is>
          <t>GULLSPÅNG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50640-2019</t>
        </is>
      </c>
      <c r="B39" s="1" t="n">
        <v>43737</v>
      </c>
      <c r="C39" s="1" t="n">
        <v>45511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50641-2019</t>
        </is>
      </c>
      <c r="B40" s="1" t="n">
        <v>43737</v>
      </c>
      <c r="C40" s="1" t="n">
        <v>45511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54540-2019</t>
        </is>
      </c>
      <c r="B41" s="1" t="n">
        <v>43754</v>
      </c>
      <c r="C41" s="1" t="n">
        <v>45511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56927-2019</t>
        </is>
      </c>
      <c r="B42" s="1" t="n">
        <v>43766</v>
      </c>
      <c r="C42" s="1" t="n">
        <v>45511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58413-2019</t>
        </is>
      </c>
      <c r="B43" s="1" t="n">
        <v>43772</v>
      </c>
      <c r="C43" s="1" t="n">
        <v>45511</v>
      </c>
      <c r="D43" t="inlineStr">
        <is>
          <t>VÄSTRA GÖTALANDS LÄN</t>
        </is>
      </c>
      <c r="E43" t="inlineStr">
        <is>
          <t>GULLSPÅNG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58414-2019</t>
        </is>
      </c>
      <c r="B44" s="1" t="n">
        <v>43772</v>
      </c>
      <c r="C44" s="1" t="n">
        <v>45511</v>
      </c>
      <c r="D44" t="inlineStr">
        <is>
          <t>VÄSTRA GÖTALANDS LÄN</t>
        </is>
      </c>
      <c r="E44" t="inlineStr">
        <is>
          <t>GULLSPÅNG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60075-2019</t>
        </is>
      </c>
      <c r="B45" s="1" t="n">
        <v>43777</v>
      </c>
      <c r="C45" s="1" t="n">
        <v>45511</v>
      </c>
      <c r="D45" t="inlineStr">
        <is>
          <t>VÄSTRA GÖTALANDS LÄN</t>
        </is>
      </c>
      <c r="E45" t="inlineStr">
        <is>
          <t>GULLSPÅNG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60866-2019</t>
        </is>
      </c>
      <c r="B46" s="1" t="n">
        <v>43781</v>
      </c>
      <c r="C46" s="1" t="n">
        <v>45511</v>
      </c>
      <c r="D46" t="inlineStr">
        <is>
          <t>VÄSTRA GÖTALANDS LÄN</t>
        </is>
      </c>
      <c r="E46" t="inlineStr">
        <is>
          <t>GULLSPÅNG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62053-2019</t>
        </is>
      </c>
      <c r="B47" s="1" t="n">
        <v>43782</v>
      </c>
      <c r="C47" s="1" t="n">
        <v>45511</v>
      </c>
      <c r="D47" t="inlineStr">
        <is>
          <t>VÄSTRA GÖTALANDS LÄN</t>
        </is>
      </c>
      <c r="E47" t="inlineStr">
        <is>
          <t>GULLSPÅNG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62057-2019</t>
        </is>
      </c>
      <c r="B48" s="1" t="n">
        <v>43782</v>
      </c>
      <c r="C48" s="1" t="n">
        <v>45511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62557-2019</t>
        </is>
      </c>
      <c r="B49" s="1" t="n">
        <v>43783</v>
      </c>
      <c r="C49" s="1" t="n">
        <v>45511</v>
      </c>
      <c r="D49" t="inlineStr">
        <is>
          <t>VÄSTRA GÖTALANDS LÄN</t>
        </is>
      </c>
      <c r="E49" t="inlineStr">
        <is>
          <t>GULLSPÅNG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62556-2019</t>
        </is>
      </c>
      <c r="B50" s="1" t="n">
        <v>43783</v>
      </c>
      <c r="C50" s="1" t="n">
        <v>45511</v>
      </c>
      <c r="D50" t="inlineStr">
        <is>
          <t>VÄSTRA GÖTALANDS LÄN</t>
        </is>
      </c>
      <c r="E50" t="inlineStr">
        <is>
          <t>GULLSPÅNG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62559-2019</t>
        </is>
      </c>
      <c r="B51" s="1" t="n">
        <v>43783</v>
      </c>
      <c r="C51" s="1" t="n">
        <v>45511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66579-2019</t>
        </is>
      </c>
      <c r="B52" s="1" t="n">
        <v>43803</v>
      </c>
      <c r="C52" s="1" t="n">
        <v>45511</v>
      </c>
      <c r="D52" t="inlineStr">
        <is>
          <t>VÄSTRA GÖTALANDS LÄN</t>
        </is>
      </c>
      <c r="E52" t="inlineStr">
        <is>
          <t>GULLSPÅNG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65928-2019</t>
        </is>
      </c>
      <c r="B53" s="1" t="n">
        <v>43805</v>
      </c>
      <c r="C53" s="1" t="n">
        <v>45511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66231-2019</t>
        </is>
      </c>
      <c r="B54" s="1" t="n">
        <v>43808</v>
      </c>
      <c r="C54" s="1" t="n">
        <v>45511</v>
      </c>
      <c r="D54" t="inlineStr">
        <is>
          <t>VÄSTRA GÖTALANDS LÄN</t>
        </is>
      </c>
      <c r="E54" t="inlineStr">
        <is>
          <t>GULLSPÅNG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66240-2019</t>
        </is>
      </c>
      <c r="B55" s="1" t="n">
        <v>43808</v>
      </c>
      <c r="C55" s="1" t="n">
        <v>45511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67030-2019</t>
        </is>
      </c>
      <c r="B56" s="1" t="n">
        <v>43811</v>
      </c>
      <c r="C56" s="1" t="n">
        <v>45511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67036-2019</t>
        </is>
      </c>
      <c r="B57" s="1" t="n">
        <v>43811</v>
      </c>
      <c r="C57" s="1" t="n">
        <v>45511</v>
      </c>
      <c r="D57" t="inlineStr">
        <is>
          <t>VÄSTRA GÖTALANDS LÄN</t>
        </is>
      </c>
      <c r="E57" t="inlineStr">
        <is>
          <t>GULLSPÅNG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67026-2019</t>
        </is>
      </c>
      <c r="B58" s="1" t="n">
        <v>43811</v>
      </c>
      <c r="C58" s="1" t="n">
        <v>45511</v>
      </c>
      <c r="D58" t="inlineStr">
        <is>
          <t>VÄSTRA GÖTALANDS LÄN</t>
        </is>
      </c>
      <c r="E58" t="inlineStr">
        <is>
          <t>GULLSPÅNG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68068-2019</t>
        </is>
      </c>
      <c r="B59" s="1" t="n">
        <v>43816</v>
      </c>
      <c r="C59" s="1" t="n">
        <v>45511</v>
      </c>
      <c r="D59" t="inlineStr">
        <is>
          <t>VÄSTRA GÖTALANDS LÄN</t>
        </is>
      </c>
      <c r="E59" t="inlineStr">
        <is>
          <t>GULLSPÅNG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68696-2019</t>
        </is>
      </c>
      <c r="B60" s="1" t="n">
        <v>43819</v>
      </c>
      <c r="C60" s="1" t="n">
        <v>45511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597-2020</t>
        </is>
      </c>
      <c r="B61" s="1" t="n">
        <v>43838</v>
      </c>
      <c r="C61" s="1" t="n">
        <v>45511</v>
      </c>
      <c r="D61" t="inlineStr">
        <is>
          <t>VÄSTRA GÖTALANDS LÄN</t>
        </is>
      </c>
      <c r="E61" t="inlineStr">
        <is>
          <t>GULLSPÅNG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1040-2020</t>
        </is>
      </c>
      <c r="B62" s="1" t="n">
        <v>43839</v>
      </c>
      <c r="C62" s="1" t="n">
        <v>45511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1618-2020</t>
        </is>
      </c>
      <c r="B63" s="1" t="n">
        <v>43844</v>
      </c>
      <c r="C63" s="1" t="n">
        <v>45511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3908-2020</t>
        </is>
      </c>
      <c r="B64" s="1" t="n">
        <v>43846</v>
      </c>
      <c r="C64" s="1" t="n">
        <v>45511</v>
      </c>
      <c r="D64" t="inlineStr">
        <is>
          <t>VÄSTRA GÖTALANDS LÄN</t>
        </is>
      </c>
      <c r="E64" t="inlineStr">
        <is>
          <t>GULLSPÅNG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2602-2020</t>
        </is>
      </c>
      <c r="B65" s="1" t="n">
        <v>43847</v>
      </c>
      <c r="C65" s="1" t="n">
        <v>45511</v>
      </c>
      <c r="D65" t="inlineStr">
        <is>
          <t>VÄSTRA GÖTALANDS LÄN</t>
        </is>
      </c>
      <c r="E65" t="inlineStr">
        <is>
          <t>GULLSPÅNG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2690-2020</t>
        </is>
      </c>
      <c r="B66" s="1" t="n">
        <v>43850</v>
      </c>
      <c r="C66" s="1" t="n">
        <v>45511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3366-2020</t>
        </is>
      </c>
      <c r="B67" s="1" t="n">
        <v>43852</v>
      </c>
      <c r="C67" s="1" t="n">
        <v>45511</v>
      </c>
      <c r="D67" t="inlineStr">
        <is>
          <t>VÄSTRA GÖTALANDS LÄN</t>
        </is>
      </c>
      <c r="E67" t="inlineStr">
        <is>
          <t>GULLSPÅNG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3780-2020</t>
        </is>
      </c>
      <c r="B68" s="1" t="n">
        <v>43854</v>
      </c>
      <c r="C68" s="1" t="n">
        <v>45511</v>
      </c>
      <c r="D68" t="inlineStr">
        <is>
          <t>VÄSTRA GÖTALANDS LÄN</t>
        </is>
      </c>
      <c r="E68" t="inlineStr">
        <is>
          <t>GULLSPÅNG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4078-2020</t>
        </is>
      </c>
      <c r="B69" s="1" t="n">
        <v>43857</v>
      </c>
      <c r="C69" s="1" t="n">
        <v>45511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5762-2020</t>
        </is>
      </c>
      <c r="B70" s="1" t="n">
        <v>43861</v>
      </c>
      <c r="C70" s="1" t="n">
        <v>45511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5769-2020</t>
        </is>
      </c>
      <c r="B71" s="1" t="n">
        <v>43861</v>
      </c>
      <c r="C71" s="1" t="n">
        <v>45511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6695-2020</t>
        </is>
      </c>
      <c r="B72" s="1" t="n">
        <v>43867</v>
      </c>
      <c r="C72" s="1" t="n">
        <v>45511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6629-2020</t>
        </is>
      </c>
      <c r="B73" s="1" t="n">
        <v>43867</v>
      </c>
      <c r="C73" s="1" t="n">
        <v>45511</v>
      </c>
      <c r="D73" t="inlineStr">
        <is>
          <t>VÄSTRA GÖTALANDS LÄN</t>
        </is>
      </c>
      <c r="E73" t="inlineStr">
        <is>
          <t>GULLSPÅNG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9336-2020</t>
        </is>
      </c>
      <c r="B74" s="1" t="n">
        <v>43880</v>
      </c>
      <c r="C74" s="1" t="n">
        <v>45511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12981-2020</t>
        </is>
      </c>
      <c r="B75" s="1" t="n">
        <v>43900</v>
      </c>
      <c r="C75" s="1" t="n">
        <v>45511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14034-2020</t>
        </is>
      </c>
      <c r="B76" s="1" t="n">
        <v>43906</v>
      </c>
      <c r="C76" s="1" t="n">
        <v>45511</v>
      </c>
      <c r="D76" t="inlineStr">
        <is>
          <t>VÄSTRA GÖTALANDS LÄN</t>
        </is>
      </c>
      <c r="E76" t="inlineStr">
        <is>
          <t>GULLSPÅNG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14032-2020</t>
        </is>
      </c>
      <c r="B77" s="1" t="n">
        <v>43906</v>
      </c>
      <c r="C77" s="1" t="n">
        <v>45511</v>
      </c>
      <c r="D77" t="inlineStr">
        <is>
          <t>VÄSTRA GÖTALANDS LÄN</t>
        </is>
      </c>
      <c r="E77" t="inlineStr">
        <is>
          <t>GULLSPÅNG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16553-2020</t>
        </is>
      </c>
      <c r="B78" s="1" t="n">
        <v>43909</v>
      </c>
      <c r="C78" s="1" t="n">
        <v>45511</v>
      </c>
      <c r="D78" t="inlineStr">
        <is>
          <t>VÄSTRA GÖTALANDS LÄN</t>
        </is>
      </c>
      <c r="E78" t="inlineStr">
        <is>
          <t>GULLSPÅNG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17507-2020</t>
        </is>
      </c>
      <c r="B79" s="1" t="n">
        <v>43923</v>
      </c>
      <c r="C79" s="1" t="n">
        <v>45511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20209-2020</t>
        </is>
      </c>
      <c r="B80" s="1" t="n">
        <v>43944</v>
      </c>
      <c r="C80" s="1" t="n">
        <v>45511</v>
      </c>
      <c r="D80" t="inlineStr">
        <is>
          <t>VÄSTRA GÖTALANDS LÄN</t>
        </is>
      </c>
      <c r="E80" t="inlineStr">
        <is>
          <t>GULLSPÅNG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20210-2020</t>
        </is>
      </c>
      <c r="B81" s="1" t="n">
        <v>43944</v>
      </c>
      <c r="C81" s="1" t="n">
        <v>45511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20759-2020</t>
        </is>
      </c>
      <c r="B82" s="1" t="n">
        <v>43949</v>
      </c>
      <c r="C82" s="1" t="n">
        <v>45511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28014-2020</t>
        </is>
      </c>
      <c r="B83" s="1" t="n">
        <v>43997</v>
      </c>
      <c r="C83" s="1" t="n">
        <v>45511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32656-2020</t>
        </is>
      </c>
      <c r="B84" s="1" t="n">
        <v>44018</v>
      </c>
      <c r="C84" s="1" t="n">
        <v>45511</v>
      </c>
      <c r="D84" t="inlineStr">
        <is>
          <t>VÄSTRA GÖTALANDS LÄN</t>
        </is>
      </c>
      <c r="E84" t="inlineStr">
        <is>
          <t>GULLSPÅNG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39426-2020</t>
        </is>
      </c>
      <c r="B85" s="1" t="n">
        <v>44064</v>
      </c>
      <c r="C85" s="1" t="n">
        <v>45511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39542-2020</t>
        </is>
      </c>
      <c r="B86" s="1" t="n">
        <v>44064</v>
      </c>
      <c r="C86" s="1" t="n">
        <v>45511</v>
      </c>
      <c r="D86" t="inlineStr">
        <is>
          <t>VÄSTRA GÖTALANDS LÄN</t>
        </is>
      </c>
      <c r="E86" t="inlineStr">
        <is>
          <t>GULLSPÅNG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39424-2020</t>
        </is>
      </c>
      <c r="B87" s="1" t="n">
        <v>44064</v>
      </c>
      <c r="C87" s="1" t="n">
        <v>45511</v>
      </c>
      <c r="D87" t="inlineStr">
        <is>
          <t>VÄSTRA GÖTALANDS LÄN</t>
        </is>
      </c>
      <c r="E87" t="inlineStr">
        <is>
          <t>GULLSPÅNG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39429-2020</t>
        </is>
      </c>
      <c r="B88" s="1" t="n">
        <v>44064</v>
      </c>
      <c r="C88" s="1" t="n">
        <v>45511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40615-2020</t>
        </is>
      </c>
      <c r="B89" s="1" t="n">
        <v>44069</v>
      </c>
      <c r="C89" s="1" t="n">
        <v>45511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43931-2020</t>
        </is>
      </c>
      <c r="B90" s="1" t="n">
        <v>44083</v>
      </c>
      <c r="C90" s="1" t="n">
        <v>45511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45752-2020</t>
        </is>
      </c>
      <c r="B91" s="1" t="n">
        <v>44090</v>
      </c>
      <c r="C91" s="1" t="n">
        <v>45511</v>
      </c>
      <c r="D91" t="inlineStr">
        <is>
          <t>VÄSTRA GÖTALANDS LÄN</t>
        </is>
      </c>
      <c r="E91" t="inlineStr">
        <is>
          <t>GULLSPÅNG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45897-2020</t>
        </is>
      </c>
      <c r="B92" s="1" t="n">
        <v>44090</v>
      </c>
      <c r="C92" s="1" t="n">
        <v>45511</v>
      </c>
      <c r="D92" t="inlineStr">
        <is>
          <t>VÄSTRA GÖTALANDS LÄN</t>
        </is>
      </c>
      <c r="E92" t="inlineStr">
        <is>
          <t>GULLSPÅNG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47739-2020</t>
        </is>
      </c>
      <c r="B93" s="1" t="n">
        <v>44096</v>
      </c>
      <c r="C93" s="1" t="n">
        <v>45511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50020-2020</t>
        </is>
      </c>
      <c r="B94" s="1" t="n">
        <v>44104</v>
      </c>
      <c r="C94" s="1" t="n">
        <v>45511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50767-2020</t>
        </is>
      </c>
      <c r="B95" s="1" t="n">
        <v>44105</v>
      </c>
      <c r="C95" s="1" t="n">
        <v>45511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50823-2020</t>
        </is>
      </c>
      <c r="B96" s="1" t="n">
        <v>44105</v>
      </c>
      <c r="C96" s="1" t="n">
        <v>45511</v>
      </c>
      <c r="D96" t="inlineStr">
        <is>
          <t>VÄSTRA GÖTALANDS LÄN</t>
        </is>
      </c>
      <c r="E96" t="inlineStr">
        <is>
          <t>GULLSPÅNG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50956-2020</t>
        </is>
      </c>
      <c r="B97" s="1" t="n">
        <v>44111</v>
      </c>
      <c r="C97" s="1" t="n">
        <v>45511</v>
      </c>
      <c r="D97" t="inlineStr">
        <is>
          <t>VÄSTRA GÖTALANDS LÄN</t>
        </is>
      </c>
      <c r="E97" t="inlineStr">
        <is>
          <t>GULLSPÅNG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51156-2020</t>
        </is>
      </c>
      <c r="B98" s="1" t="n">
        <v>44112</v>
      </c>
      <c r="C98" s="1" t="n">
        <v>45511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51162-2020</t>
        </is>
      </c>
      <c r="B99" s="1" t="n">
        <v>44112</v>
      </c>
      <c r="C99" s="1" t="n">
        <v>45511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51160-2020</t>
        </is>
      </c>
      <c r="B100" s="1" t="n">
        <v>44112</v>
      </c>
      <c r="C100" s="1" t="n">
        <v>45511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51167-2020</t>
        </is>
      </c>
      <c r="B101" s="1" t="n">
        <v>44112</v>
      </c>
      <c r="C101" s="1" t="n">
        <v>45511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51159-2020</t>
        </is>
      </c>
      <c r="B102" s="1" t="n">
        <v>44112</v>
      </c>
      <c r="C102" s="1" t="n">
        <v>45511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51158-2020</t>
        </is>
      </c>
      <c r="B103" s="1" t="n">
        <v>44112</v>
      </c>
      <c r="C103" s="1" t="n">
        <v>45511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51165-2020</t>
        </is>
      </c>
      <c r="B104" s="1" t="n">
        <v>44112</v>
      </c>
      <c r="C104" s="1" t="n">
        <v>45511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52684-2020</t>
        </is>
      </c>
      <c r="B105" s="1" t="n">
        <v>44117</v>
      </c>
      <c r="C105" s="1" t="n">
        <v>45511</v>
      </c>
      <c r="D105" t="inlineStr">
        <is>
          <t>VÄSTRA GÖTALANDS LÄN</t>
        </is>
      </c>
      <c r="E105" t="inlineStr">
        <is>
          <t>GULLSPÅNG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52686-2020</t>
        </is>
      </c>
      <c r="B106" s="1" t="n">
        <v>44117</v>
      </c>
      <c r="C106" s="1" t="n">
        <v>45511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52682-2020</t>
        </is>
      </c>
      <c r="B107" s="1" t="n">
        <v>44117</v>
      </c>
      <c r="C107" s="1" t="n">
        <v>45511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52590-2020</t>
        </is>
      </c>
      <c r="B108" s="1" t="n">
        <v>44118</v>
      </c>
      <c r="C108" s="1" t="n">
        <v>45511</v>
      </c>
      <c r="D108" t="inlineStr">
        <is>
          <t>VÄSTRA GÖTALANDS LÄN</t>
        </is>
      </c>
      <c r="E108" t="inlineStr">
        <is>
          <t>GULLSPÅNG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52585-2020</t>
        </is>
      </c>
      <c r="B109" s="1" t="n">
        <v>44118</v>
      </c>
      <c r="C109" s="1" t="n">
        <v>45511</v>
      </c>
      <c r="D109" t="inlineStr">
        <is>
          <t>VÄSTRA GÖTALANDS LÄN</t>
        </is>
      </c>
      <c r="E109" t="inlineStr">
        <is>
          <t>GULLSPÅNG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54857-2020</t>
        </is>
      </c>
      <c r="B110" s="1" t="n">
        <v>44126</v>
      </c>
      <c r="C110" s="1" t="n">
        <v>45511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55132-2020</t>
        </is>
      </c>
      <c r="B111" s="1" t="n">
        <v>44130</v>
      </c>
      <c r="C111" s="1" t="n">
        <v>45511</v>
      </c>
      <c r="D111" t="inlineStr">
        <is>
          <t>VÄSTRA GÖTALANDS LÄN</t>
        </is>
      </c>
      <c r="E111" t="inlineStr">
        <is>
          <t>GULLSPÅNG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55555-2020</t>
        </is>
      </c>
      <c r="B112" s="1" t="n">
        <v>44131</v>
      </c>
      <c r="C112" s="1" t="n">
        <v>45511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56693-2020</t>
        </is>
      </c>
      <c r="B113" s="1" t="n">
        <v>44137</v>
      </c>
      <c r="C113" s="1" t="n">
        <v>45511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58421-2020</t>
        </is>
      </c>
      <c r="B114" s="1" t="n">
        <v>44144</v>
      </c>
      <c r="C114" s="1" t="n">
        <v>45511</v>
      </c>
      <c r="D114" t="inlineStr">
        <is>
          <t>VÄSTRA GÖTALANDS LÄN</t>
        </is>
      </c>
      <c r="E114" t="inlineStr">
        <is>
          <t>GULLSPÅNG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58878-2020</t>
        </is>
      </c>
      <c r="B115" s="1" t="n">
        <v>44146</v>
      </c>
      <c r="C115" s="1" t="n">
        <v>45511</v>
      </c>
      <c r="D115" t="inlineStr">
        <is>
          <t>VÄSTRA GÖTALANDS LÄN</t>
        </is>
      </c>
      <c r="E115" t="inlineStr">
        <is>
          <t>GULLSPÅNG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62176-2020</t>
        </is>
      </c>
      <c r="B116" s="1" t="n">
        <v>44159</v>
      </c>
      <c r="C116" s="1" t="n">
        <v>45511</v>
      </c>
      <c r="D116" t="inlineStr">
        <is>
          <t>VÄSTRA GÖTALANDS LÄN</t>
        </is>
      </c>
      <c r="E116" t="inlineStr">
        <is>
          <t>GULLSPÅNG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62345-2020</t>
        </is>
      </c>
      <c r="B117" s="1" t="n">
        <v>44160</v>
      </c>
      <c r="C117" s="1" t="n">
        <v>45511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63459-2020</t>
        </is>
      </c>
      <c r="B118" s="1" t="n">
        <v>44161</v>
      </c>
      <c r="C118" s="1" t="n">
        <v>45511</v>
      </c>
      <c r="D118" t="inlineStr">
        <is>
          <t>VÄSTRA GÖTALANDS LÄN</t>
        </is>
      </c>
      <c r="E118" t="inlineStr">
        <is>
          <t>GULLSPÅNG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64403-2020</t>
        </is>
      </c>
      <c r="B119" s="1" t="n">
        <v>44168</v>
      </c>
      <c r="C119" s="1" t="n">
        <v>45511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64454-2020</t>
        </is>
      </c>
      <c r="B120" s="1" t="n">
        <v>44168</v>
      </c>
      <c r="C120" s="1" t="n">
        <v>45511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66406-2020</t>
        </is>
      </c>
      <c r="B121" s="1" t="n">
        <v>44176</v>
      </c>
      <c r="C121" s="1" t="n">
        <v>45511</v>
      </c>
      <c r="D121" t="inlineStr">
        <is>
          <t>VÄSTRA GÖTALANDS LÄN</t>
        </is>
      </c>
      <c r="E121" t="inlineStr">
        <is>
          <t>GULLSPÅNG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1074-2021</t>
        </is>
      </c>
      <c r="B122" s="1" t="n">
        <v>44207</v>
      </c>
      <c r="C122" s="1" t="n">
        <v>45511</v>
      </c>
      <c r="D122" t="inlineStr">
        <is>
          <t>VÄSTRA GÖTALANDS LÄN</t>
        </is>
      </c>
      <c r="E122" t="inlineStr">
        <is>
          <t>GULLSPÅNG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2966-2021</t>
        </is>
      </c>
      <c r="B123" s="1" t="n">
        <v>44216</v>
      </c>
      <c r="C123" s="1" t="n">
        <v>45511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8299-2021</t>
        </is>
      </c>
      <c r="B124" s="1" t="n">
        <v>44243</v>
      </c>
      <c r="C124" s="1" t="n">
        <v>45511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9186-2021</t>
        </is>
      </c>
      <c r="B125" s="1" t="n">
        <v>44250</v>
      </c>
      <c r="C125" s="1" t="n">
        <v>45511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11719-2021</t>
        </is>
      </c>
      <c r="B126" s="1" t="n">
        <v>44265</v>
      </c>
      <c r="C126" s="1" t="n">
        <v>45511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11805-2021</t>
        </is>
      </c>
      <c r="B127" s="1" t="n">
        <v>44265</v>
      </c>
      <c r="C127" s="1" t="n">
        <v>45511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14093-2021</t>
        </is>
      </c>
      <c r="B128" s="1" t="n">
        <v>44278</v>
      </c>
      <c r="C128" s="1" t="n">
        <v>45511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14274-2021</t>
        </is>
      </c>
      <c r="B129" s="1" t="n">
        <v>44278</v>
      </c>
      <c r="C129" s="1" t="n">
        <v>45511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14284-2021</t>
        </is>
      </c>
      <c r="B130" s="1" t="n">
        <v>44278</v>
      </c>
      <c r="C130" s="1" t="n">
        <v>45511</v>
      </c>
      <c r="D130" t="inlineStr">
        <is>
          <t>VÄSTRA GÖTALANDS LÄN</t>
        </is>
      </c>
      <c r="E130" t="inlineStr">
        <is>
          <t>GULLSPÅNG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14112-2021</t>
        </is>
      </c>
      <c r="B131" s="1" t="n">
        <v>44278</v>
      </c>
      <c r="C131" s="1" t="n">
        <v>45511</v>
      </c>
      <c r="D131" t="inlineStr">
        <is>
          <t>VÄSTRA GÖTALANDS LÄN</t>
        </is>
      </c>
      <c r="E131" t="inlineStr">
        <is>
          <t>GULLSPÅNG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14250-2021</t>
        </is>
      </c>
      <c r="B132" s="1" t="n">
        <v>44278</v>
      </c>
      <c r="C132" s="1" t="n">
        <v>45511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15335-2021</t>
        </is>
      </c>
      <c r="B133" s="1" t="n">
        <v>44284</v>
      </c>
      <c r="C133" s="1" t="n">
        <v>45511</v>
      </c>
      <c r="D133" t="inlineStr">
        <is>
          <t>VÄSTRA GÖTALANDS LÄN</t>
        </is>
      </c>
      <c r="E133" t="inlineStr">
        <is>
          <t>GULLSPÅNG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16284-2021</t>
        </is>
      </c>
      <c r="B134" s="1" t="n">
        <v>44292</v>
      </c>
      <c r="C134" s="1" t="n">
        <v>45511</v>
      </c>
      <c r="D134" t="inlineStr">
        <is>
          <t>VÄSTRA GÖTALANDS LÄN</t>
        </is>
      </c>
      <c r="E134" t="inlineStr">
        <is>
          <t>GULLSPÅNG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16511-2021</t>
        </is>
      </c>
      <c r="B135" s="1" t="n">
        <v>44293</v>
      </c>
      <c r="C135" s="1" t="n">
        <v>45511</v>
      </c>
      <c r="D135" t="inlineStr">
        <is>
          <t>VÄSTRA GÖTALANDS LÄN</t>
        </is>
      </c>
      <c r="E135" t="inlineStr">
        <is>
          <t>GULLSPÅNG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17799-2021</t>
        </is>
      </c>
      <c r="B136" s="1" t="n">
        <v>44300</v>
      </c>
      <c r="C136" s="1" t="n">
        <v>45511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21770-2021</t>
        </is>
      </c>
      <c r="B137" s="1" t="n">
        <v>44321</v>
      </c>
      <c r="C137" s="1" t="n">
        <v>45511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21947-2021</t>
        </is>
      </c>
      <c r="B138" s="1" t="n">
        <v>44323</v>
      </c>
      <c r="C138" s="1" t="n">
        <v>45511</v>
      </c>
      <c r="D138" t="inlineStr">
        <is>
          <t>VÄSTRA GÖTALANDS LÄN</t>
        </is>
      </c>
      <c r="E138" t="inlineStr">
        <is>
          <t>GULLSPÅNG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23665-2021</t>
        </is>
      </c>
      <c r="B139" s="1" t="n">
        <v>44334</v>
      </c>
      <c r="C139" s="1" t="n">
        <v>45511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25063-2021</t>
        </is>
      </c>
      <c r="B140" s="1" t="n">
        <v>44341</v>
      </c>
      <c r="C140" s="1" t="n">
        <v>45511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25066-2021</t>
        </is>
      </c>
      <c r="B141" s="1" t="n">
        <v>44341</v>
      </c>
      <c r="C141" s="1" t="n">
        <v>45511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25432-2021</t>
        </is>
      </c>
      <c r="B142" s="1" t="n">
        <v>44342</v>
      </c>
      <c r="C142" s="1" t="n">
        <v>45511</v>
      </c>
      <c r="D142" t="inlineStr">
        <is>
          <t>VÄSTRA GÖTALANDS LÄN</t>
        </is>
      </c>
      <c r="E142" t="inlineStr">
        <is>
          <t>GULLSPÅNG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25428-2021</t>
        </is>
      </c>
      <c r="B143" s="1" t="n">
        <v>44342</v>
      </c>
      <c r="C143" s="1" t="n">
        <v>45511</v>
      </c>
      <c r="D143" t="inlineStr">
        <is>
          <t>VÄSTRA GÖTALANDS LÄN</t>
        </is>
      </c>
      <c r="E143" t="inlineStr">
        <is>
          <t>GULLSPÅNG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30313-2021</t>
        </is>
      </c>
      <c r="B144" s="1" t="n">
        <v>44364</v>
      </c>
      <c r="C144" s="1" t="n">
        <v>45511</v>
      </c>
      <c r="D144" t="inlineStr">
        <is>
          <t>VÄSTRA GÖTALANDS LÄN</t>
        </is>
      </c>
      <c r="E144" t="inlineStr">
        <is>
          <t>GULLSPÅNG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33513-2021</t>
        </is>
      </c>
      <c r="B145" s="1" t="n">
        <v>44377</v>
      </c>
      <c r="C145" s="1" t="n">
        <v>45511</v>
      </c>
      <c r="D145" t="inlineStr">
        <is>
          <t>VÄSTRA GÖTALANDS LÄN</t>
        </is>
      </c>
      <c r="E145" t="inlineStr">
        <is>
          <t>GULLSPÅNG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33511-2021</t>
        </is>
      </c>
      <c r="B146" s="1" t="n">
        <v>44377</v>
      </c>
      <c r="C146" s="1" t="n">
        <v>45511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34168-2021</t>
        </is>
      </c>
      <c r="B147" s="1" t="n">
        <v>44379</v>
      </c>
      <c r="C147" s="1" t="n">
        <v>45511</v>
      </c>
      <c r="D147" t="inlineStr">
        <is>
          <t>VÄSTRA GÖTALANDS LÄN</t>
        </is>
      </c>
      <c r="E147" t="inlineStr">
        <is>
          <t>GULLSPÅNG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34179-2021</t>
        </is>
      </c>
      <c r="B148" s="1" t="n">
        <v>44379</v>
      </c>
      <c r="C148" s="1" t="n">
        <v>45511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34659-2021</t>
        </is>
      </c>
      <c r="B149" s="1" t="n">
        <v>44382</v>
      </c>
      <c r="C149" s="1" t="n">
        <v>45511</v>
      </c>
      <c r="D149" t="inlineStr">
        <is>
          <t>VÄSTRA GÖTALANDS LÄN</t>
        </is>
      </c>
      <c r="E149" t="inlineStr">
        <is>
          <t>GULLSPÅNG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35673-2021</t>
        </is>
      </c>
      <c r="B150" s="1" t="n">
        <v>44386</v>
      </c>
      <c r="C150" s="1" t="n">
        <v>45511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35672-2021</t>
        </is>
      </c>
      <c r="B151" s="1" t="n">
        <v>44386</v>
      </c>
      <c r="C151" s="1" t="n">
        <v>45511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45511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37700-2021</t>
        </is>
      </c>
      <c r="B153" s="1" t="n">
        <v>44400</v>
      </c>
      <c r="C153" s="1" t="n">
        <v>45511</v>
      </c>
      <c r="D153" t="inlineStr">
        <is>
          <t>VÄSTRA GÖTALANDS LÄN</t>
        </is>
      </c>
      <c r="E153" t="inlineStr">
        <is>
          <t>GULLSPÅNG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38551-2021</t>
        </is>
      </c>
      <c r="B154" s="1" t="n">
        <v>44407</v>
      </c>
      <c r="C154" s="1" t="n">
        <v>45511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38754-2021</t>
        </is>
      </c>
      <c r="B155" s="1" t="n">
        <v>44410</v>
      </c>
      <c r="C155" s="1" t="n">
        <v>45511</v>
      </c>
      <c r="D155" t="inlineStr">
        <is>
          <t>VÄSTRA GÖTALANDS LÄN</t>
        </is>
      </c>
      <c r="E155" t="inlineStr">
        <is>
          <t>GULLSPÅNG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40275-2021</t>
        </is>
      </c>
      <c r="B156" s="1" t="n">
        <v>44419</v>
      </c>
      <c r="C156" s="1" t="n">
        <v>45511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40928-2021</t>
        </is>
      </c>
      <c r="B157" s="1" t="n">
        <v>44421</v>
      </c>
      <c r="C157" s="1" t="n">
        <v>45511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40935-2021</t>
        </is>
      </c>
      <c r="B158" s="1" t="n">
        <v>44421</v>
      </c>
      <c r="C158" s="1" t="n">
        <v>45511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40982-2021</t>
        </is>
      </c>
      <c r="B159" s="1" t="n">
        <v>44421</v>
      </c>
      <c r="C159" s="1" t="n">
        <v>45511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43749-2021</t>
        </is>
      </c>
      <c r="B160" s="1" t="n">
        <v>44433</v>
      </c>
      <c r="C160" s="1" t="n">
        <v>45511</v>
      </c>
      <c r="D160" t="inlineStr">
        <is>
          <t>VÄSTRA GÖTALANDS LÄN</t>
        </is>
      </c>
      <c r="E160" t="inlineStr">
        <is>
          <t>GULLSPÅNG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44055-2021</t>
        </is>
      </c>
      <c r="B161" s="1" t="n">
        <v>44434</v>
      </c>
      <c r="C161" s="1" t="n">
        <v>45511</v>
      </c>
      <c r="D161" t="inlineStr">
        <is>
          <t>VÄSTRA GÖTALANDS LÄN</t>
        </is>
      </c>
      <c r="E161" t="inlineStr">
        <is>
          <t>GULLSPÅNG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44072-2021</t>
        </is>
      </c>
      <c r="B162" s="1" t="n">
        <v>44434</v>
      </c>
      <c r="C162" s="1" t="n">
        <v>45511</v>
      </c>
      <c r="D162" t="inlineStr">
        <is>
          <t>VÄSTRA GÖTALANDS LÄN</t>
        </is>
      </c>
      <c r="E162" t="inlineStr">
        <is>
          <t>GULLSPÅNG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44643-2021</t>
        </is>
      </c>
      <c r="B163" s="1" t="n">
        <v>44437</v>
      </c>
      <c r="C163" s="1" t="n">
        <v>45511</v>
      </c>
      <c r="D163" t="inlineStr">
        <is>
          <t>VÄSTRA GÖTALANDS LÄN</t>
        </is>
      </c>
      <c r="E163" t="inlineStr">
        <is>
          <t>GULLSPÅNG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</v>
      </c>
      <c r="C164" s="1" t="n">
        <v>45511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</v>
      </c>
      <c r="C165" s="1" t="n">
        <v>45511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44863-2021</t>
        </is>
      </c>
      <c r="B166" s="1" t="n">
        <v>44438</v>
      </c>
      <c r="C166" s="1" t="n">
        <v>45511</v>
      </c>
      <c r="D166" t="inlineStr">
        <is>
          <t>VÄSTRA GÖTALANDS LÄN</t>
        </is>
      </c>
      <c r="E166" t="inlineStr">
        <is>
          <t>GULLSPÅNG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45056-2021</t>
        </is>
      </c>
      <c r="B167" s="1" t="n">
        <v>44439</v>
      </c>
      <c r="C167" s="1" t="n">
        <v>45511</v>
      </c>
      <c r="D167" t="inlineStr">
        <is>
          <t>VÄSTRA GÖTALANDS LÄN</t>
        </is>
      </c>
      <c r="E167" t="inlineStr">
        <is>
          <t>GULLSPÅNG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45062-2021</t>
        </is>
      </c>
      <c r="B168" s="1" t="n">
        <v>44439</v>
      </c>
      <c r="C168" s="1" t="n">
        <v>45511</v>
      </c>
      <c r="D168" t="inlineStr">
        <is>
          <t>VÄSTRA GÖTALANDS LÄN</t>
        </is>
      </c>
      <c r="E168" t="inlineStr">
        <is>
          <t>GULLSPÅNG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45059-2021</t>
        </is>
      </c>
      <c r="B169" s="1" t="n">
        <v>44439</v>
      </c>
      <c r="C169" s="1" t="n">
        <v>45511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</v>
      </c>
      <c r="C170" s="1" t="n">
        <v>45511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45103-2021</t>
        </is>
      </c>
      <c r="B171" s="1" t="n">
        <v>44439</v>
      </c>
      <c r="C171" s="1" t="n">
        <v>45511</v>
      </c>
      <c r="D171" t="inlineStr">
        <is>
          <t>VÄSTRA GÖTALANDS LÄN</t>
        </is>
      </c>
      <c r="E171" t="inlineStr">
        <is>
          <t>GULLSPÅNG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45612-2021</t>
        </is>
      </c>
      <c r="B172" s="1" t="n">
        <v>44440</v>
      </c>
      <c r="C172" s="1" t="n">
        <v>45511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47181-2021</t>
        </is>
      </c>
      <c r="B173" s="1" t="n">
        <v>44447</v>
      </c>
      <c r="C173" s="1" t="n">
        <v>45511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49026-2021</t>
        </is>
      </c>
      <c r="B174" s="1" t="n">
        <v>44453</v>
      </c>
      <c r="C174" s="1" t="n">
        <v>45511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49365-2021</t>
        </is>
      </c>
      <c r="B175" s="1" t="n">
        <v>44454</v>
      </c>
      <c r="C175" s="1" t="n">
        <v>45511</v>
      </c>
      <c r="D175" t="inlineStr">
        <is>
          <t>VÄSTRA GÖTALANDS LÄN</t>
        </is>
      </c>
      <c r="E175" t="inlineStr">
        <is>
          <t>GULLSPÅNG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49378-2021</t>
        </is>
      </c>
      <c r="B176" s="1" t="n">
        <v>44454</v>
      </c>
      <c r="C176" s="1" t="n">
        <v>45511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51196-2021</t>
        </is>
      </c>
      <c r="B177" s="1" t="n">
        <v>44460</v>
      </c>
      <c r="C177" s="1" t="n">
        <v>45511</v>
      </c>
      <c r="D177" t="inlineStr">
        <is>
          <t>VÄSTRA GÖTALANDS LÄN</t>
        </is>
      </c>
      <c r="E177" t="inlineStr">
        <is>
          <t>GULLSPÅNG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52572-2021</t>
        </is>
      </c>
      <c r="B178" s="1" t="n">
        <v>44466</v>
      </c>
      <c r="C178" s="1" t="n">
        <v>45511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53817-2021</t>
        </is>
      </c>
      <c r="B179" s="1" t="n">
        <v>44469</v>
      </c>
      <c r="C179" s="1" t="n">
        <v>45511</v>
      </c>
      <c r="D179" t="inlineStr">
        <is>
          <t>VÄSTRA GÖTALANDS LÄN</t>
        </is>
      </c>
      <c r="E179" t="inlineStr">
        <is>
          <t>GULLSPÅNG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56885-2021</t>
        </is>
      </c>
      <c r="B180" s="1" t="n">
        <v>44481</v>
      </c>
      <c r="C180" s="1" t="n">
        <v>45511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57819-2021</t>
        </is>
      </c>
      <c r="B181" s="1" t="n">
        <v>44484</v>
      </c>
      <c r="C181" s="1" t="n">
        <v>45511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60681-2021</t>
        </is>
      </c>
      <c r="B182" s="1" t="n">
        <v>44496</v>
      </c>
      <c r="C182" s="1" t="n">
        <v>45511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61796-2021</t>
        </is>
      </c>
      <c r="B183" s="1" t="n">
        <v>44498</v>
      </c>
      <c r="C183" s="1" t="n">
        <v>45511</v>
      </c>
      <c r="D183" t="inlineStr">
        <is>
          <t>VÄSTRA GÖTALANDS LÄN</t>
        </is>
      </c>
      <c r="E183" t="inlineStr">
        <is>
          <t>GULLSPÅNG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64888-2021</t>
        </is>
      </c>
      <c r="B184" s="1" t="n">
        <v>44512</v>
      </c>
      <c r="C184" s="1" t="n">
        <v>45511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66603-2021</t>
        </is>
      </c>
      <c r="B185" s="1" t="n">
        <v>44519</v>
      </c>
      <c r="C185" s="1" t="n">
        <v>45511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68517-2021</t>
        </is>
      </c>
      <c r="B186" s="1" t="n">
        <v>44525</v>
      </c>
      <c r="C186" s="1" t="n">
        <v>45511</v>
      </c>
      <c r="D186" t="inlineStr">
        <is>
          <t>VÄSTRA GÖTALANDS LÄN</t>
        </is>
      </c>
      <c r="E186" t="inlineStr">
        <is>
          <t>GULLSPÅNG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70283-2021</t>
        </is>
      </c>
      <c r="B187" s="1" t="n">
        <v>44536</v>
      </c>
      <c r="C187" s="1" t="n">
        <v>45511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71009-2021</t>
        </is>
      </c>
      <c r="B188" s="1" t="n">
        <v>44538</v>
      </c>
      <c r="C188" s="1" t="n">
        <v>45511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71049-2021</t>
        </is>
      </c>
      <c r="B189" s="1" t="n">
        <v>44538</v>
      </c>
      <c r="C189" s="1" t="n">
        <v>45511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71423-2021</t>
        </is>
      </c>
      <c r="B190" s="1" t="n">
        <v>44540</v>
      </c>
      <c r="C190" s="1" t="n">
        <v>45511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73609-2021</t>
        </is>
      </c>
      <c r="B191" s="1" t="n">
        <v>44552</v>
      </c>
      <c r="C191" s="1" t="n">
        <v>45511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73685-2021</t>
        </is>
      </c>
      <c r="B192" s="1" t="n">
        <v>44552</v>
      </c>
      <c r="C192" s="1" t="n">
        <v>45511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73779-2021</t>
        </is>
      </c>
      <c r="B193" s="1" t="n">
        <v>44552</v>
      </c>
      <c r="C193" s="1" t="n">
        <v>45511</v>
      </c>
      <c r="D193" t="inlineStr">
        <is>
          <t>VÄSTRA GÖTALANDS LÄN</t>
        </is>
      </c>
      <c r="E193" t="inlineStr">
        <is>
          <t>GULLSPÅNG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2569-2022</t>
        </is>
      </c>
      <c r="B194" s="1" t="n">
        <v>44579</v>
      </c>
      <c r="C194" s="1" t="n">
        <v>45511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2633-2022</t>
        </is>
      </c>
      <c r="B195" s="1" t="n">
        <v>44580</v>
      </c>
      <c r="C195" s="1" t="n">
        <v>45511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2640-2022</t>
        </is>
      </c>
      <c r="B196" s="1" t="n">
        <v>44580</v>
      </c>
      <c r="C196" s="1" t="n">
        <v>45511</v>
      </c>
      <c r="D196" t="inlineStr">
        <is>
          <t>VÄSTRA GÖTALANDS LÄN</t>
        </is>
      </c>
      <c r="E196" t="inlineStr">
        <is>
          <t>GULLSPÅNG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8924-2022</t>
        </is>
      </c>
      <c r="B197" s="1" t="n">
        <v>44614</v>
      </c>
      <c r="C197" s="1" t="n">
        <v>45511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Kyrkan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8910-2022</t>
        </is>
      </c>
      <c r="B198" s="1" t="n">
        <v>44614</v>
      </c>
      <c r="C198" s="1" t="n">
        <v>45511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8926-2022</t>
        </is>
      </c>
      <c r="B199" s="1" t="n">
        <v>44614</v>
      </c>
      <c r="C199" s="1" t="n">
        <v>45511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9423-2022</t>
        </is>
      </c>
      <c r="B200" s="1" t="n">
        <v>44616</v>
      </c>
      <c r="C200" s="1" t="n">
        <v>45511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10056-2022</t>
        </is>
      </c>
      <c r="B201" s="1" t="n">
        <v>44621</v>
      </c>
      <c r="C201" s="1" t="n">
        <v>45511</v>
      </c>
      <c r="D201" t="inlineStr">
        <is>
          <t>VÄSTRA GÖTALANDS LÄN</t>
        </is>
      </c>
      <c r="E201" t="inlineStr">
        <is>
          <t>GULLSPÅNG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10782-2022</t>
        </is>
      </c>
      <c r="B202" s="1" t="n">
        <v>44627</v>
      </c>
      <c r="C202" s="1" t="n">
        <v>45511</v>
      </c>
      <c r="D202" t="inlineStr">
        <is>
          <t>VÄSTRA GÖTALANDS LÄN</t>
        </is>
      </c>
      <c r="E202" t="inlineStr">
        <is>
          <t>GULLSPÅNG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14406-2022</t>
        </is>
      </c>
      <c r="B203" s="1" t="n">
        <v>44652</v>
      </c>
      <c r="C203" s="1" t="n">
        <v>45511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15051-2022</t>
        </is>
      </c>
      <c r="B204" s="1" t="n">
        <v>44657</v>
      </c>
      <c r="C204" s="1" t="n">
        <v>45511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17564-2022</t>
        </is>
      </c>
      <c r="B205" s="1" t="n">
        <v>44679</v>
      </c>
      <c r="C205" s="1" t="n">
        <v>45511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18500-2022</t>
        </is>
      </c>
      <c r="B206" s="1" t="n">
        <v>44686</v>
      </c>
      <c r="C206" s="1" t="n">
        <v>45511</v>
      </c>
      <c r="D206" t="inlineStr">
        <is>
          <t>VÄSTRA GÖTALANDS LÄN</t>
        </is>
      </c>
      <c r="E206" t="inlineStr">
        <is>
          <t>GULLSPÅNG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26333-2022</t>
        </is>
      </c>
      <c r="B207" s="1" t="n">
        <v>44735</v>
      </c>
      <c r="C207" s="1" t="n">
        <v>45511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26441-2022</t>
        </is>
      </c>
      <c r="B208" s="1" t="n">
        <v>44738</v>
      </c>
      <c r="C208" s="1" t="n">
        <v>45511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28036-2022</t>
        </is>
      </c>
      <c r="B209" s="1" t="n">
        <v>44746</v>
      </c>
      <c r="C209" s="1" t="n">
        <v>45511</v>
      </c>
      <c r="D209" t="inlineStr">
        <is>
          <t>VÄSTRA GÖTALANDS LÄN</t>
        </is>
      </c>
      <c r="E209" t="inlineStr">
        <is>
          <t>GULLSPÅNG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28032-2022</t>
        </is>
      </c>
      <c r="B210" s="1" t="n">
        <v>44746</v>
      </c>
      <c r="C210" s="1" t="n">
        <v>45511</v>
      </c>
      <c r="D210" t="inlineStr">
        <is>
          <t>VÄSTRA GÖTALANDS LÄN</t>
        </is>
      </c>
      <c r="E210" t="inlineStr">
        <is>
          <t>GULLSPÅNG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28088-2022</t>
        </is>
      </c>
      <c r="B211" s="1" t="n">
        <v>44746</v>
      </c>
      <c r="C211" s="1" t="n">
        <v>45511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28167-2022</t>
        </is>
      </c>
      <c r="B212" s="1" t="n">
        <v>44746</v>
      </c>
      <c r="C212" s="1" t="n">
        <v>45511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45511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28199-2022</t>
        </is>
      </c>
      <c r="B214" s="1" t="n">
        <v>44746</v>
      </c>
      <c r="C214" s="1" t="n">
        <v>45511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28101-2022</t>
        </is>
      </c>
      <c r="B215" s="1" t="n">
        <v>44746</v>
      </c>
      <c r="C215" s="1" t="n">
        <v>45511</v>
      </c>
      <c r="D215" t="inlineStr">
        <is>
          <t>VÄSTRA GÖTALANDS LÄN</t>
        </is>
      </c>
      <c r="E215" t="inlineStr">
        <is>
          <t>GULLSPÅNG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28200-2022</t>
        </is>
      </c>
      <c r="B216" s="1" t="n">
        <v>44746</v>
      </c>
      <c r="C216" s="1" t="n">
        <v>45511</v>
      </c>
      <c r="D216" t="inlineStr">
        <is>
          <t>VÄSTRA GÖTALANDS LÄN</t>
        </is>
      </c>
      <c r="E216" t="inlineStr">
        <is>
          <t>GULLSPÅNG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31989-2022</t>
        </is>
      </c>
      <c r="B217" s="1" t="n">
        <v>44778</v>
      </c>
      <c r="C217" s="1" t="n">
        <v>45511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34589-2022</t>
        </is>
      </c>
      <c r="B218" s="1" t="n">
        <v>44795</v>
      </c>
      <c r="C218" s="1" t="n">
        <v>45511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35149-2022</t>
        </is>
      </c>
      <c r="B219" s="1" t="n">
        <v>44797</v>
      </c>
      <c r="C219" s="1" t="n">
        <v>45511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36888-2022</t>
        </is>
      </c>
      <c r="B220" s="1" t="n">
        <v>44805</v>
      </c>
      <c r="C220" s="1" t="n">
        <v>45511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39887-2022</t>
        </is>
      </c>
      <c r="B221" s="1" t="n">
        <v>44819</v>
      </c>
      <c r="C221" s="1" t="n">
        <v>45511</v>
      </c>
      <c r="D221" t="inlineStr">
        <is>
          <t>VÄSTRA GÖTALANDS LÄN</t>
        </is>
      </c>
      <c r="E221" t="inlineStr">
        <is>
          <t>GULLSPÅNG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40740-2022</t>
        </is>
      </c>
      <c r="B222" s="1" t="n">
        <v>44824</v>
      </c>
      <c r="C222" s="1" t="n">
        <v>45511</v>
      </c>
      <c r="D222" t="inlineStr">
        <is>
          <t>VÄSTRA GÖTALANDS LÄN</t>
        </is>
      </c>
      <c r="E222" t="inlineStr">
        <is>
          <t>GULLSPÅNG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42769-2022</t>
        </is>
      </c>
      <c r="B223" s="1" t="n">
        <v>44832</v>
      </c>
      <c r="C223" s="1" t="n">
        <v>45511</v>
      </c>
      <c r="D223" t="inlineStr">
        <is>
          <t>VÄSTRA GÖTALANDS LÄN</t>
        </is>
      </c>
      <c r="E223" t="inlineStr">
        <is>
          <t>GULLSPÅNG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42778-2022</t>
        </is>
      </c>
      <c r="B224" s="1" t="n">
        <v>44832</v>
      </c>
      <c r="C224" s="1" t="n">
        <v>45511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46431-2022</t>
        </is>
      </c>
      <c r="B225" s="1" t="n">
        <v>44846</v>
      </c>
      <c r="C225" s="1" t="n">
        <v>45511</v>
      </c>
      <c r="D225" t="inlineStr">
        <is>
          <t>VÄSTRA GÖTALANDS LÄN</t>
        </is>
      </c>
      <c r="E225" t="inlineStr">
        <is>
          <t>GULLSPÅNG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45511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48636-2022</t>
        </is>
      </c>
      <c r="B227" s="1" t="n">
        <v>44855</v>
      </c>
      <c r="C227" s="1" t="n">
        <v>45511</v>
      </c>
      <c r="D227" t="inlineStr">
        <is>
          <t>VÄSTRA GÖTALANDS LÄN</t>
        </is>
      </c>
      <c r="E227" t="inlineStr">
        <is>
          <t>GULLSPÅNG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50587-2022</t>
        </is>
      </c>
      <c r="B228" s="1" t="n">
        <v>44861</v>
      </c>
      <c r="C228" s="1" t="n">
        <v>45511</v>
      </c>
      <c r="D228" t="inlineStr">
        <is>
          <t>VÄSTRA GÖTALANDS LÄN</t>
        </is>
      </c>
      <c r="E228" t="inlineStr">
        <is>
          <t>GULLSPÅNG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50456-2022</t>
        </is>
      </c>
      <c r="B229" s="1" t="n">
        <v>44861</v>
      </c>
      <c r="C229" s="1" t="n">
        <v>45511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50530-2022</t>
        </is>
      </c>
      <c r="B230" s="1" t="n">
        <v>44861</v>
      </c>
      <c r="C230" s="1" t="n">
        <v>45511</v>
      </c>
      <c r="D230" t="inlineStr">
        <is>
          <t>VÄSTRA GÖTALANDS LÄN</t>
        </is>
      </c>
      <c r="E230" t="inlineStr">
        <is>
          <t>GULLSPÅNG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45511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49897-2022</t>
        </is>
      </c>
      <c r="B232" s="1" t="n">
        <v>44864</v>
      </c>
      <c r="C232" s="1" t="n">
        <v>45511</v>
      </c>
      <c r="D232" t="inlineStr">
        <is>
          <t>VÄSTRA GÖTALANDS LÄN</t>
        </is>
      </c>
      <c r="E232" t="inlineStr">
        <is>
          <t>GULLSPÅNG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49895-2022</t>
        </is>
      </c>
      <c r="B233" s="1" t="n">
        <v>44864</v>
      </c>
      <c r="C233" s="1" t="n">
        <v>45511</v>
      </c>
      <c r="D233" t="inlineStr">
        <is>
          <t>VÄSTRA GÖTALANDS LÄN</t>
        </is>
      </c>
      <c r="E233" t="inlineStr">
        <is>
          <t>GULLSPÅNG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50270-2022</t>
        </is>
      </c>
      <c r="B234" s="1" t="n">
        <v>44865</v>
      </c>
      <c r="C234" s="1" t="n">
        <v>45511</v>
      </c>
      <c r="D234" t="inlineStr">
        <is>
          <t>VÄSTRA GÖTALANDS LÄN</t>
        </is>
      </c>
      <c r="E234" t="inlineStr">
        <is>
          <t>GULLSPÅNG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53357-2022</t>
        </is>
      </c>
      <c r="B235" s="1" t="n">
        <v>44879</v>
      </c>
      <c r="C235" s="1" t="n">
        <v>45511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53360-2022</t>
        </is>
      </c>
      <c r="B236" s="1" t="n">
        <v>44879</v>
      </c>
      <c r="C236" s="1" t="n">
        <v>45511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53348-2022</t>
        </is>
      </c>
      <c r="B237" s="1" t="n">
        <v>44879</v>
      </c>
      <c r="C237" s="1" t="n">
        <v>45511</v>
      </c>
      <c r="D237" t="inlineStr">
        <is>
          <t>VÄSTRA GÖTALANDS LÄN</t>
        </is>
      </c>
      <c r="E237" t="inlineStr">
        <is>
          <t>GULLSPÅNG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53354-2022</t>
        </is>
      </c>
      <c r="B238" s="1" t="n">
        <v>44879</v>
      </c>
      <c r="C238" s="1" t="n">
        <v>45511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53370-2022</t>
        </is>
      </c>
      <c r="B239" s="1" t="n">
        <v>44879</v>
      </c>
      <c r="C239" s="1" t="n">
        <v>45511</v>
      </c>
      <c r="D239" t="inlineStr">
        <is>
          <t>VÄSTRA GÖTALANDS LÄN</t>
        </is>
      </c>
      <c r="E239" t="inlineStr">
        <is>
          <t>GULLSPÅNG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53823-2022</t>
        </is>
      </c>
      <c r="B240" s="1" t="n">
        <v>44880</v>
      </c>
      <c r="C240" s="1" t="n">
        <v>45511</v>
      </c>
      <c r="D240" t="inlineStr">
        <is>
          <t>VÄSTRA GÖTALANDS LÄN</t>
        </is>
      </c>
      <c r="E240" t="inlineStr">
        <is>
          <t>GULLSPÅNG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54234-2022</t>
        </is>
      </c>
      <c r="B241" s="1" t="n">
        <v>44881</v>
      </c>
      <c r="C241" s="1" t="n">
        <v>45511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55624-2022</t>
        </is>
      </c>
      <c r="B242" s="1" t="n">
        <v>44883</v>
      </c>
      <c r="C242" s="1" t="n">
        <v>45511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56711-2022</t>
        </is>
      </c>
      <c r="B243" s="1" t="n">
        <v>44893</v>
      </c>
      <c r="C243" s="1" t="n">
        <v>45511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59204-2022</t>
        </is>
      </c>
      <c r="B244" s="1" t="n">
        <v>44897</v>
      </c>
      <c r="C244" s="1" t="n">
        <v>45511</v>
      </c>
      <c r="D244" t="inlineStr">
        <is>
          <t>VÄSTRA GÖTALANDS LÄN</t>
        </is>
      </c>
      <c r="E244" t="inlineStr">
        <is>
          <t>GULLSPÅNG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58909-2022</t>
        </is>
      </c>
      <c r="B245" s="1" t="n">
        <v>44903</v>
      </c>
      <c r="C245" s="1" t="n">
        <v>45511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362-2023</t>
        </is>
      </c>
      <c r="B246" s="1" t="n">
        <v>44923</v>
      </c>
      <c r="C246" s="1" t="n">
        <v>45511</v>
      </c>
      <c r="D246" t="inlineStr">
        <is>
          <t>VÄSTRA GÖTALANDS LÄN</t>
        </is>
      </c>
      <c r="E246" t="inlineStr">
        <is>
          <t>GULLSPÅNG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4290-2023</t>
        </is>
      </c>
      <c r="B247" s="1" t="n">
        <v>44953</v>
      </c>
      <c r="C247" s="1" t="n">
        <v>45511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4289-2023</t>
        </is>
      </c>
      <c r="B248" s="1" t="n">
        <v>44953</v>
      </c>
      <c r="C248" s="1" t="n">
        <v>45511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6373-2023</t>
        </is>
      </c>
      <c r="B249" s="1" t="n">
        <v>44965</v>
      </c>
      <c r="C249" s="1" t="n">
        <v>45511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6360-2023</t>
        </is>
      </c>
      <c r="B250" s="1" t="n">
        <v>44965</v>
      </c>
      <c r="C250" s="1" t="n">
        <v>45511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6374-2023</t>
        </is>
      </c>
      <c r="B251" s="1" t="n">
        <v>44965</v>
      </c>
      <c r="C251" s="1" t="n">
        <v>45511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7172-2023</t>
        </is>
      </c>
      <c r="B252" s="1" t="n">
        <v>44965</v>
      </c>
      <c r="C252" s="1" t="n">
        <v>45511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7961-2023</t>
        </is>
      </c>
      <c r="B253" s="1" t="n">
        <v>44970</v>
      </c>
      <c r="C253" s="1" t="n">
        <v>45511</v>
      </c>
      <c r="D253" t="inlineStr">
        <is>
          <t>VÄSTRA GÖTALANDS LÄN</t>
        </is>
      </c>
      <c r="E253" t="inlineStr">
        <is>
          <t>GULLSPÅNG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7953-2023</t>
        </is>
      </c>
      <c r="B254" s="1" t="n">
        <v>44970</v>
      </c>
      <c r="C254" s="1" t="n">
        <v>45511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7969-2023</t>
        </is>
      </c>
      <c r="B255" s="1" t="n">
        <v>44970</v>
      </c>
      <c r="C255" s="1" t="n">
        <v>45511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45511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45511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9486-2023</t>
        </is>
      </c>
      <c r="B258" s="1" t="n">
        <v>44977</v>
      </c>
      <c r="C258" s="1" t="n">
        <v>45511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8792-2023</t>
        </is>
      </c>
      <c r="B259" s="1" t="n">
        <v>44978</v>
      </c>
      <c r="C259" s="1" t="n">
        <v>45511</v>
      </c>
      <c r="D259" t="inlineStr">
        <is>
          <t>VÄSTRA GÖTALANDS LÄN</t>
        </is>
      </c>
      <c r="E259" t="inlineStr">
        <is>
          <t>GULLSPÅNG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8794-2023</t>
        </is>
      </c>
      <c r="B260" s="1" t="n">
        <v>44978</v>
      </c>
      <c r="C260" s="1" t="n">
        <v>45511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8982-2023</t>
        </is>
      </c>
      <c r="B261" s="1" t="n">
        <v>44979</v>
      </c>
      <c r="C261" s="1" t="n">
        <v>45511</v>
      </c>
      <c r="D261" t="inlineStr">
        <is>
          <t>VÄSTRA GÖTALANDS LÄN</t>
        </is>
      </c>
      <c r="E261" t="inlineStr">
        <is>
          <t>GULLSPÅNG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12476-2023</t>
        </is>
      </c>
      <c r="B262" s="1" t="n">
        <v>44999</v>
      </c>
      <c r="C262" s="1" t="n">
        <v>45511</v>
      </c>
      <c r="D262" t="inlineStr">
        <is>
          <t>VÄSTRA GÖTALANDS LÄN</t>
        </is>
      </c>
      <c r="E262" t="inlineStr">
        <is>
          <t>GULLSPÅNG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12889-2023</t>
        </is>
      </c>
      <c r="B263" s="1" t="n">
        <v>45001</v>
      </c>
      <c r="C263" s="1" t="n">
        <v>45511</v>
      </c>
      <c r="D263" t="inlineStr">
        <is>
          <t>VÄSTRA GÖTALANDS LÄN</t>
        </is>
      </c>
      <c r="E263" t="inlineStr">
        <is>
          <t>GULLSPÅNG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12895-2023</t>
        </is>
      </c>
      <c r="B264" s="1" t="n">
        <v>45001</v>
      </c>
      <c r="C264" s="1" t="n">
        <v>45511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12901-2023</t>
        </is>
      </c>
      <c r="B265" s="1" t="n">
        <v>45001</v>
      </c>
      <c r="C265" s="1" t="n">
        <v>45511</v>
      </c>
      <c r="D265" t="inlineStr">
        <is>
          <t>VÄSTRA GÖTALANDS LÄN</t>
        </is>
      </c>
      <c r="E265" t="inlineStr">
        <is>
          <t>GULLSPÅNG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13049-2023</t>
        </is>
      </c>
      <c r="B266" s="1" t="n">
        <v>45002</v>
      </c>
      <c r="C266" s="1" t="n">
        <v>45511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14213-2023</t>
        </is>
      </c>
      <c r="B267" s="1" t="n">
        <v>45009</v>
      </c>
      <c r="C267" s="1" t="n">
        <v>45511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17388-2023</t>
        </is>
      </c>
      <c r="B268" s="1" t="n">
        <v>45035</v>
      </c>
      <c r="C268" s="1" t="n">
        <v>45511</v>
      </c>
      <c r="D268" t="inlineStr">
        <is>
          <t>VÄSTRA GÖTALANDS LÄN</t>
        </is>
      </c>
      <c r="E268" t="inlineStr">
        <is>
          <t>GULLSPÅNG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17377-2023</t>
        </is>
      </c>
      <c r="B269" s="1" t="n">
        <v>45035</v>
      </c>
      <c r="C269" s="1" t="n">
        <v>45511</v>
      </c>
      <c r="D269" t="inlineStr">
        <is>
          <t>VÄSTRA GÖTALANDS LÄN</t>
        </is>
      </c>
      <c r="E269" t="inlineStr">
        <is>
          <t>GULLSPÅNG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22328-2023</t>
        </is>
      </c>
      <c r="B270" s="1" t="n">
        <v>45070</v>
      </c>
      <c r="C270" s="1" t="n">
        <v>45511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23166-2023</t>
        </is>
      </c>
      <c r="B271" s="1" t="n">
        <v>45075</v>
      </c>
      <c r="C271" s="1" t="n">
        <v>45511</v>
      </c>
      <c r="D271" t="inlineStr">
        <is>
          <t>VÄSTRA GÖTALANDS LÄN</t>
        </is>
      </c>
      <c r="E271" t="inlineStr">
        <is>
          <t>GULLSPÅNG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45511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25882-2023</t>
        </is>
      </c>
      <c r="B273" s="1" t="n">
        <v>45090</v>
      </c>
      <c r="C273" s="1" t="n">
        <v>45511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29171-2023</t>
        </is>
      </c>
      <c r="B274" s="1" t="n">
        <v>45097</v>
      </c>
      <c r="C274" s="1" t="n">
        <v>45511</v>
      </c>
      <c r="D274" t="inlineStr">
        <is>
          <t>VÄSTRA GÖTALANDS LÄN</t>
        </is>
      </c>
      <c r="E274" t="inlineStr">
        <is>
          <t>GULLSPÅNG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29199-2023</t>
        </is>
      </c>
      <c r="B275" s="1" t="n">
        <v>45097</v>
      </c>
      <c r="C275" s="1" t="n">
        <v>45511</v>
      </c>
      <c r="D275" t="inlineStr">
        <is>
          <t>VÄSTRA GÖTALANDS LÄN</t>
        </is>
      </c>
      <c r="E275" t="inlineStr">
        <is>
          <t>GULLSPÅNG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29203-2023</t>
        </is>
      </c>
      <c r="B276" s="1" t="n">
        <v>45097</v>
      </c>
      <c r="C276" s="1" t="n">
        <v>45511</v>
      </c>
      <c r="D276" t="inlineStr">
        <is>
          <t>VÄSTRA GÖTALANDS LÄN</t>
        </is>
      </c>
      <c r="E276" t="inlineStr">
        <is>
          <t>GULLSPÅNG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29209-2023</t>
        </is>
      </c>
      <c r="B277" s="1" t="n">
        <v>45097</v>
      </c>
      <c r="C277" s="1" t="n">
        <v>45511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32564-2023</t>
        </is>
      </c>
      <c r="B278" s="1" t="n">
        <v>45111</v>
      </c>
      <c r="C278" s="1" t="n">
        <v>45511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32624-2023</t>
        </is>
      </c>
      <c r="B279" s="1" t="n">
        <v>45111</v>
      </c>
      <c r="C279" s="1" t="n">
        <v>45511</v>
      </c>
      <c r="D279" t="inlineStr">
        <is>
          <t>VÄSTRA GÖTALANDS LÄN</t>
        </is>
      </c>
      <c r="E279" t="inlineStr">
        <is>
          <t>GULLSPÅNG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32829-2023</t>
        </is>
      </c>
      <c r="B280" s="1" t="n">
        <v>45112</v>
      </c>
      <c r="C280" s="1" t="n">
        <v>45511</v>
      </c>
      <c r="D280" t="inlineStr">
        <is>
          <t>VÄSTRA GÖTALANDS LÄN</t>
        </is>
      </c>
      <c r="E280" t="inlineStr">
        <is>
          <t>GULLSPÅNG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33622-2023</t>
        </is>
      </c>
      <c r="B281" s="1" t="n">
        <v>45132</v>
      </c>
      <c r="C281" s="1" t="n">
        <v>45511</v>
      </c>
      <c r="D281" t="inlineStr">
        <is>
          <t>VÄSTRA GÖTALANDS LÄN</t>
        </is>
      </c>
      <c r="E281" t="inlineStr">
        <is>
          <t>GULLSPÅNG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35435-2023</t>
        </is>
      </c>
      <c r="B282" s="1" t="n">
        <v>45146</v>
      </c>
      <c r="C282" s="1" t="n">
        <v>45511</v>
      </c>
      <c r="D282" t="inlineStr">
        <is>
          <t>VÄSTRA GÖTALANDS LÄN</t>
        </is>
      </c>
      <c r="E282" t="inlineStr">
        <is>
          <t>GULLSPÅNG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35429-2023</t>
        </is>
      </c>
      <c r="B283" s="1" t="n">
        <v>45146</v>
      </c>
      <c r="C283" s="1" t="n">
        <v>45511</v>
      </c>
      <c r="D283" t="inlineStr">
        <is>
          <t>VÄSTRA GÖTALANDS LÄN</t>
        </is>
      </c>
      <c r="E283" t="inlineStr">
        <is>
          <t>GULLSPÅNG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35433-2023</t>
        </is>
      </c>
      <c r="B284" s="1" t="n">
        <v>45146</v>
      </c>
      <c r="C284" s="1" t="n">
        <v>45511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35426-2023</t>
        </is>
      </c>
      <c r="B285" s="1" t="n">
        <v>45146</v>
      </c>
      <c r="C285" s="1" t="n">
        <v>45511</v>
      </c>
      <c r="D285" t="inlineStr">
        <is>
          <t>VÄSTRA GÖTALANDS LÄN</t>
        </is>
      </c>
      <c r="E285" t="inlineStr">
        <is>
          <t>GULLSPÅNG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36922-2023</t>
        </is>
      </c>
      <c r="B286" s="1" t="n">
        <v>45153</v>
      </c>
      <c r="C286" s="1" t="n">
        <v>45511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37197-2023</t>
        </is>
      </c>
      <c r="B287" s="1" t="n">
        <v>45155</v>
      </c>
      <c r="C287" s="1" t="n">
        <v>45511</v>
      </c>
      <c r="D287" t="inlineStr">
        <is>
          <t>VÄSTRA GÖTALANDS LÄN</t>
        </is>
      </c>
      <c r="E287" t="inlineStr">
        <is>
          <t>GULLSPÅNG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39311-2023</t>
        </is>
      </c>
      <c r="B288" s="1" t="n">
        <v>45162</v>
      </c>
      <c r="C288" s="1" t="n">
        <v>45511</v>
      </c>
      <c r="D288" t="inlineStr">
        <is>
          <t>VÄSTRA GÖTALANDS LÄN</t>
        </is>
      </c>
      <c r="E288" t="inlineStr">
        <is>
          <t>GULLSPÅNG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40131-2023</t>
        </is>
      </c>
      <c r="B289" s="1" t="n">
        <v>45169</v>
      </c>
      <c r="C289" s="1" t="n">
        <v>45511</v>
      </c>
      <c r="D289" t="inlineStr">
        <is>
          <t>VÄSTRA GÖTALANDS LÄN</t>
        </is>
      </c>
      <c r="E289" t="inlineStr">
        <is>
          <t>GULLSPÅNG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40982-2023</t>
        </is>
      </c>
      <c r="B290" s="1" t="n">
        <v>45169</v>
      </c>
      <c r="C290" s="1" t="n">
        <v>45511</v>
      </c>
      <c r="D290" t="inlineStr">
        <is>
          <t>VÄSTRA GÖTALANDS LÄN</t>
        </is>
      </c>
      <c r="E290" t="inlineStr">
        <is>
          <t>GULLSPÅNG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40975-2023</t>
        </is>
      </c>
      <c r="B291" s="1" t="n">
        <v>45169</v>
      </c>
      <c r="C291" s="1" t="n">
        <v>45511</v>
      </c>
      <c r="D291" t="inlineStr">
        <is>
          <t>VÄSTRA GÖTALANDS LÄN</t>
        </is>
      </c>
      <c r="E291" t="inlineStr">
        <is>
          <t>GULLSPÅNG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40505-2023</t>
        </is>
      </c>
      <c r="B292" s="1" t="n">
        <v>45170</v>
      </c>
      <c r="C292" s="1" t="n">
        <v>45511</v>
      </c>
      <c r="D292" t="inlineStr">
        <is>
          <t>VÄSTRA GÖTALANDS LÄN</t>
        </is>
      </c>
      <c r="E292" t="inlineStr">
        <is>
          <t>GULLSPÅNG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40508-2023</t>
        </is>
      </c>
      <c r="B293" s="1" t="n">
        <v>45170</v>
      </c>
      <c r="C293" s="1" t="n">
        <v>45511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40511-2023</t>
        </is>
      </c>
      <c r="B294" s="1" t="n">
        <v>45170</v>
      </c>
      <c r="C294" s="1" t="n">
        <v>45511</v>
      </c>
      <c r="D294" t="inlineStr">
        <is>
          <t>VÄSTRA GÖTALANDS LÄN</t>
        </is>
      </c>
      <c r="E294" t="inlineStr">
        <is>
          <t>GULLSPÅNG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40506-2023</t>
        </is>
      </c>
      <c r="B295" s="1" t="n">
        <v>45170</v>
      </c>
      <c r="C295" s="1" t="n">
        <v>45511</v>
      </c>
      <c r="D295" t="inlineStr">
        <is>
          <t>VÄSTRA GÖTALANDS LÄN</t>
        </is>
      </c>
      <c r="E295" t="inlineStr">
        <is>
          <t>GULLSPÅNG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42018-2023</t>
        </is>
      </c>
      <c r="B296" s="1" t="n">
        <v>45174</v>
      </c>
      <c r="C296" s="1" t="n">
        <v>45511</v>
      </c>
      <c r="D296" t="inlineStr">
        <is>
          <t>VÄSTRA GÖTALANDS LÄN</t>
        </is>
      </c>
      <c r="E296" t="inlineStr">
        <is>
          <t>GULLSPÅNG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42021-2023</t>
        </is>
      </c>
      <c r="B297" s="1" t="n">
        <v>45174</v>
      </c>
      <c r="C297" s="1" t="n">
        <v>45511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42718-2023</t>
        </is>
      </c>
      <c r="B298" s="1" t="n">
        <v>45181</v>
      </c>
      <c r="C298" s="1" t="n">
        <v>45511</v>
      </c>
      <c r="D298" t="inlineStr">
        <is>
          <t>VÄSTRA GÖTALANDS LÄN</t>
        </is>
      </c>
      <c r="E298" t="inlineStr">
        <is>
          <t>GULLSPÅNG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43572-2023</t>
        </is>
      </c>
      <c r="B299" s="1" t="n">
        <v>45184</v>
      </c>
      <c r="C299" s="1" t="n">
        <v>45511</v>
      </c>
      <c r="D299" t="inlineStr">
        <is>
          <t>VÄSTRA GÖTALANDS LÄN</t>
        </is>
      </c>
      <c r="E299" t="inlineStr">
        <is>
          <t>GULLSPÅNG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43653-2023</t>
        </is>
      </c>
      <c r="B300" s="1" t="n">
        <v>45187</v>
      </c>
      <c r="C300" s="1" t="n">
        <v>45511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43791-2023</t>
        </is>
      </c>
      <c r="B301" s="1" t="n">
        <v>45187</v>
      </c>
      <c r="C301" s="1" t="n">
        <v>45511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45398-2023</t>
        </is>
      </c>
      <c r="B302" s="1" t="n">
        <v>45194</v>
      </c>
      <c r="C302" s="1" t="n">
        <v>45511</v>
      </c>
      <c r="D302" t="inlineStr">
        <is>
          <t>VÄSTRA GÖTALANDS LÄN</t>
        </is>
      </c>
      <c r="E302" t="inlineStr">
        <is>
          <t>GULLSPÅNG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48609-2023</t>
        </is>
      </c>
      <c r="B303" s="1" t="n">
        <v>45202</v>
      </c>
      <c r="C303" s="1" t="n">
        <v>45511</v>
      </c>
      <c r="D303" t="inlineStr">
        <is>
          <t>VÄSTRA GÖTALANDS LÄN</t>
        </is>
      </c>
      <c r="E303" t="inlineStr">
        <is>
          <t>GULLSPÅNG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48588-2023</t>
        </is>
      </c>
      <c r="B304" s="1" t="n">
        <v>45202</v>
      </c>
      <c r="C304" s="1" t="n">
        <v>45511</v>
      </c>
      <c r="D304" t="inlineStr">
        <is>
          <t>VÄSTRA GÖTALANDS LÄN</t>
        </is>
      </c>
      <c r="E304" t="inlineStr">
        <is>
          <t>GULLSPÅNG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47844-2023</t>
        </is>
      </c>
      <c r="B305" s="1" t="n">
        <v>45204</v>
      </c>
      <c r="C305" s="1" t="n">
        <v>45511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48897-2023</t>
        </is>
      </c>
      <c r="B306" s="1" t="n">
        <v>45205</v>
      </c>
      <c r="C306" s="1" t="n">
        <v>45511</v>
      </c>
      <c r="D306" t="inlineStr">
        <is>
          <t>VÄSTRA GÖTALANDS LÄN</t>
        </is>
      </c>
      <c r="E306" t="inlineStr">
        <is>
          <t>GULLSPÅNG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49684-2023</t>
        </is>
      </c>
      <c r="B307" s="1" t="n">
        <v>45212</v>
      </c>
      <c r="C307" s="1" t="n">
        <v>45511</v>
      </c>
      <c r="D307" t="inlineStr">
        <is>
          <t>VÄSTRA GÖTALANDS LÄN</t>
        </is>
      </c>
      <c r="E307" t="inlineStr">
        <is>
          <t>GULLSPÅNG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50962-2023</t>
        </is>
      </c>
      <c r="B308" s="1" t="n">
        <v>45218</v>
      </c>
      <c r="C308" s="1" t="n">
        <v>45511</v>
      </c>
      <c r="D308" t="inlineStr">
        <is>
          <t>VÄSTRA GÖTALANDS LÄN</t>
        </is>
      </c>
      <c r="E308" t="inlineStr">
        <is>
          <t>GULLSPÅNG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54632-2023</t>
        </is>
      </c>
      <c r="B309" s="1" t="n">
        <v>45229</v>
      </c>
      <c r="C309" s="1" t="n">
        <v>45511</v>
      </c>
      <c r="D309" t="inlineStr">
        <is>
          <t>VÄSTRA GÖTALANDS LÄN</t>
        </is>
      </c>
      <c r="E309" t="inlineStr">
        <is>
          <t>GULLSPÅNG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54660-2023</t>
        </is>
      </c>
      <c r="B310" s="1" t="n">
        <v>45235</v>
      </c>
      <c r="C310" s="1" t="n">
        <v>45511</v>
      </c>
      <c r="D310" t="inlineStr">
        <is>
          <t>VÄSTRA GÖTALANDS LÄN</t>
        </is>
      </c>
      <c r="E310" t="inlineStr">
        <is>
          <t>GULLSPÅNG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54882-2023</t>
        </is>
      </c>
      <c r="B311" s="1" t="n">
        <v>45236</v>
      </c>
      <c r="C311" s="1" t="n">
        <v>45511</v>
      </c>
      <c r="D311" t="inlineStr">
        <is>
          <t>VÄSTRA GÖTALANDS LÄN</t>
        </is>
      </c>
      <c r="E311" t="inlineStr">
        <is>
          <t>GULLSPÅNG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55163-2023</t>
        </is>
      </c>
      <c r="B312" s="1" t="n">
        <v>45237</v>
      </c>
      <c r="C312" s="1" t="n">
        <v>45511</v>
      </c>
      <c r="D312" t="inlineStr">
        <is>
          <t>VÄSTRA GÖTALANDS LÄN</t>
        </is>
      </c>
      <c r="E312" t="inlineStr">
        <is>
          <t>GULLSPÅNG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58832-2023</t>
        </is>
      </c>
      <c r="B313" s="1" t="n">
        <v>45247</v>
      </c>
      <c r="C313" s="1" t="n">
        <v>45511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59184-2023</t>
        </is>
      </c>
      <c r="B314" s="1" t="n">
        <v>45251</v>
      </c>
      <c r="C314" s="1" t="n">
        <v>45511</v>
      </c>
      <c r="D314" t="inlineStr">
        <is>
          <t>VÄSTRA GÖTALANDS LÄN</t>
        </is>
      </c>
      <c r="E314" t="inlineStr">
        <is>
          <t>GULLSPÅNG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59191-2023</t>
        </is>
      </c>
      <c r="B315" s="1" t="n">
        <v>45251</v>
      </c>
      <c r="C315" s="1" t="n">
        <v>45511</v>
      </c>
      <c r="D315" t="inlineStr">
        <is>
          <t>VÄSTRA GÖTALANDS LÄN</t>
        </is>
      </c>
      <c r="E315" t="inlineStr">
        <is>
          <t>GULLSPÅNG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58878-2023</t>
        </is>
      </c>
      <c r="B316" s="1" t="n">
        <v>45252</v>
      </c>
      <c r="C316" s="1" t="n">
        <v>45511</v>
      </c>
      <c r="D316" t="inlineStr">
        <is>
          <t>VÄSTRA GÖTALANDS LÄN</t>
        </is>
      </c>
      <c r="E316" t="inlineStr">
        <is>
          <t>GULLSPÅNG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58879-2023</t>
        </is>
      </c>
      <c r="B317" s="1" t="n">
        <v>45252</v>
      </c>
      <c r="C317" s="1" t="n">
        <v>45511</v>
      </c>
      <c r="D317" t="inlineStr">
        <is>
          <t>VÄSTRA GÖTALANDS LÄN</t>
        </is>
      </c>
      <c r="E317" t="inlineStr">
        <is>
          <t>GULLSPÅNG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58876-2023</t>
        </is>
      </c>
      <c r="B318" s="1" t="n">
        <v>45252</v>
      </c>
      <c r="C318" s="1" t="n">
        <v>45511</v>
      </c>
      <c r="D318" t="inlineStr">
        <is>
          <t>VÄSTRA GÖTALANDS LÄN</t>
        </is>
      </c>
      <c r="E318" t="inlineStr">
        <is>
          <t>GULLSPÅNG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59231-2023</t>
        </is>
      </c>
      <c r="B319" s="1" t="n">
        <v>45253</v>
      </c>
      <c r="C319" s="1" t="n">
        <v>45511</v>
      </c>
      <c r="D319" t="inlineStr">
        <is>
          <t>VÄSTRA GÖTALANDS LÄN</t>
        </is>
      </c>
      <c r="E319" t="inlineStr">
        <is>
          <t>GULLSPÅNG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59375-2023</t>
        </is>
      </c>
      <c r="B320" s="1" t="n">
        <v>45253</v>
      </c>
      <c r="C320" s="1" t="n">
        <v>45511</v>
      </c>
      <c r="D320" t="inlineStr">
        <is>
          <t>VÄSTRA GÖTALANDS LÄN</t>
        </is>
      </c>
      <c r="E320" t="inlineStr">
        <is>
          <t>GULLSPÅNG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59372-2023</t>
        </is>
      </c>
      <c r="B321" s="1" t="n">
        <v>45253</v>
      </c>
      <c r="C321" s="1" t="n">
        <v>45511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59373-2023</t>
        </is>
      </c>
      <c r="B322" s="1" t="n">
        <v>45253</v>
      </c>
      <c r="C322" s="1" t="n">
        <v>45511</v>
      </c>
      <c r="D322" t="inlineStr">
        <is>
          <t>VÄSTRA GÖTALANDS LÄN</t>
        </is>
      </c>
      <c r="E322" t="inlineStr">
        <is>
          <t>GULLSPÅNG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59863-2023</t>
        </is>
      </c>
      <c r="B323" s="1" t="n">
        <v>45253</v>
      </c>
      <c r="C323" s="1" t="n">
        <v>45511</v>
      </c>
      <c r="D323" t="inlineStr">
        <is>
          <t>VÄSTRA GÖTALANDS LÄN</t>
        </is>
      </c>
      <c r="E323" t="inlineStr">
        <is>
          <t>GULLSPÅNG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59965-2023</t>
        </is>
      </c>
      <c r="B324" s="1" t="n">
        <v>45257</v>
      </c>
      <c r="C324" s="1" t="n">
        <v>45511</v>
      </c>
      <c r="D324" t="inlineStr">
        <is>
          <t>VÄSTRA GÖTALANDS LÄN</t>
        </is>
      </c>
      <c r="E324" t="inlineStr">
        <is>
          <t>GULLSPÅNG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60091-2023</t>
        </is>
      </c>
      <c r="B325" s="1" t="n">
        <v>45258</v>
      </c>
      <c r="C325" s="1" t="n">
        <v>45511</v>
      </c>
      <c r="D325" t="inlineStr">
        <is>
          <t>VÄSTRA GÖTALANDS LÄN</t>
        </is>
      </c>
      <c r="E325" t="inlineStr">
        <is>
          <t>GULLSPÅNG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61289-2023</t>
        </is>
      </c>
      <c r="B326" s="1" t="n">
        <v>45260</v>
      </c>
      <c r="C326" s="1" t="n">
        <v>45511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60961-2023</t>
        </is>
      </c>
      <c r="B327" s="1" t="n">
        <v>45261</v>
      </c>
      <c r="C327" s="1" t="n">
        <v>45511</v>
      </c>
      <c r="D327" t="inlineStr">
        <is>
          <t>VÄSTRA GÖTALANDS LÄN</t>
        </is>
      </c>
      <c r="E327" t="inlineStr">
        <is>
          <t>GULLSPÅNG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60967-2023</t>
        </is>
      </c>
      <c r="B328" s="1" t="n">
        <v>45261</v>
      </c>
      <c r="C328" s="1" t="n">
        <v>45511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62607-2023</t>
        </is>
      </c>
      <c r="B329" s="1" t="n">
        <v>45267</v>
      </c>
      <c r="C329" s="1" t="n">
        <v>45511</v>
      </c>
      <c r="D329" t="inlineStr">
        <is>
          <t>VÄSTRA GÖTALANDS LÄN</t>
        </is>
      </c>
      <c r="E329" t="inlineStr">
        <is>
          <t>GULLSPÅNG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63038-2023</t>
        </is>
      </c>
      <c r="B330" s="1" t="n">
        <v>45272</v>
      </c>
      <c r="C330" s="1" t="n">
        <v>45511</v>
      </c>
      <c r="D330" t="inlineStr">
        <is>
          <t>VÄSTRA GÖTALANDS LÄN</t>
        </is>
      </c>
      <c r="E330" t="inlineStr">
        <is>
          <t>GULLSPÅNG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63039-2023</t>
        </is>
      </c>
      <c r="B331" s="1" t="n">
        <v>45272</v>
      </c>
      <c r="C331" s="1" t="n">
        <v>45511</v>
      </c>
      <c r="D331" t="inlineStr">
        <is>
          <t>VÄSTRA GÖTALANDS LÄN</t>
        </is>
      </c>
      <c r="E331" t="inlineStr">
        <is>
          <t>GULLSPÅNG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63206-2023</t>
        </is>
      </c>
      <c r="B332" s="1" t="n">
        <v>45273</v>
      </c>
      <c r="C332" s="1" t="n">
        <v>45511</v>
      </c>
      <c r="D332" t="inlineStr">
        <is>
          <t>VÄSTRA GÖTALANDS LÄN</t>
        </is>
      </c>
      <c r="E332" t="inlineStr">
        <is>
          <t>GULLSPÅNG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63200-2023</t>
        </is>
      </c>
      <c r="B333" s="1" t="n">
        <v>45273</v>
      </c>
      <c r="C333" s="1" t="n">
        <v>45511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64350-2023</t>
        </is>
      </c>
      <c r="B334" s="1" t="n">
        <v>45280</v>
      </c>
      <c r="C334" s="1" t="n">
        <v>45511</v>
      </c>
      <c r="D334" t="inlineStr">
        <is>
          <t>VÄSTRA GÖTALANDS LÄN</t>
        </is>
      </c>
      <c r="E334" t="inlineStr">
        <is>
          <t>GULLSPÅNG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64725-2023</t>
        </is>
      </c>
      <c r="B335" s="1" t="n">
        <v>45281</v>
      </c>
      <c r="C335" s="1" t="n">
        <v>45511</v>
      </c>
      <c r="D335" t="inlineStr">
        <is>
          <t>VÄSTRA GÖTALANDS LÄN</t>
        </is>
      </c>
      <c r="E335" t="inlineStr">
        <is>
          <t>GULLSPÅNG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64722-2023</t>
        </is>
      </c>
      <c r="B336" s="1" t="n">
        <v>45281</v>
      </c>
      <c r="C336" s="1" t="n">
        <v>45511</v>
      </c>
      <c r="D336" t="inlineStr">
        <is>
          <t>VÄSTRA GÖTALANDS LÄN</t>
        </is>
      </c>
      <c r="E336" t="inlineStr">
        <is>
          <t>GULLSPÅNG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64869-2023</t>
        </is>
      </c>
      <c r="B337" s="1" t="n">
        <v>45282</v>
      </c>
      <c r="C337" s="1" t="n">
        <v>45511</v>
      </c>
      <c r="D337" t="inlineStr">
        <is>
          <t>VÄSTRA GÖTALANDS LÄN</t>
        </is>
      </c>
      <c r="E337" t="inlineStr">
        <is>
          <t>GULLSPÅNG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295-2024</t>
        </is>
      </c>
      <c r="B338" s="1" t="n">
        <v>45294</v>
      </c>
      <c r="C338" s="1" t="n">
        <v>45511</v>
      </c>
      <c r="D338" t="inlineStr">
        <is>
          <t>VÄSTRA GÖTALANDS LÄN</t>
        </is>
      </c>
      <c r="E338" t="inlineStr">
        <is>
          <t>GULLSPÅNG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455-2024</t>
        </is>
      </c>
      <c r="B339" s="1" t="n">
        <v>45296</v>
      </c>
      <c r="C339" s="1" t="n">
        <v>45511</v>
      </c>
      <c r="D339" t="inlineStr">
        <is>
          <t>VÄSTRA GÖTALANDS LÄN</t>
        </is>
      </c>
      <c r="E339" t="inlineStr">
        <is>
          <t>GULLSPÅNG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650-2024</t>
        </is>
      </c>
      <c r="B340" s="1" t="n">
        <v>45299</v>
      </c>
      <c r="C340" s="1" t="n">
        <v>45511</v>
      </c>
      <c r="D340" t="inlineStr">
        <is>
          <t>VÄSTRA GÖTALANDS LÄN</t>
        </is>
      </c>
      <c r="E340" t="inlineStr">
        <is>
          <t>GULLSPÅNG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648-2024</t>
        </is>
      </c>
      <c r="B341" s="1" t="n">
        <v>45299</v>
      </c>
      <c r="C341" s="1" t="n">
        <v>45511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647-2024</t>
        </is>
      </c>
      <c r="B342" s="1" t="n">
        <v>45299</v>
      </c>
      <c r="C342" s="1" t="n">
        <v>45511</v>
      </c>
      <c r="D342" t="inlineStr">
        <is>
          <t>VÄSTRA GÖTALANDS LÄN</t>
        </is>
      </c>
      <c r="E342" t="inlineStr">
        <is>
          <t>GULLSPÅNG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1218-2024</t>
        </is>
      </c>
      <c r="B343" s="1" t="n">
        <v>45302</v>
      </c>
      <c r="C343" s="1" t="n">
        <v>45511</v>
      </c>
      <c r="D343" t="inlineStr">
        <is>
          <t>VÄSTRA GÖTALANDS LÄN</t>
        </is>
      </c>
      <c r="E343" t="inlineStr">
        <is>
          <t>GULLSPÅNG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3313-2024</t>
        </is>
      </c>
      <c r="B344" s="1" t="n">
        <v>45317</v>
      </c>
      <c r="C344" s="1" t="n">
        <v>45511</v>
      </c>
      <c r="D344" t="inlineStr">
        <is>
          <t>VÄSTRA GÖTALANDS LÄN</t>
        </is>
      </c>
      <c r="E344" t="inlineStr">
        <is>
          <t>GULLSPÅNG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3515-2024</t>
        </is>
      </c>
      <c r="B345" s="1" t="n">
        <v>45320</v>
      </c>
      <c r="C345" s="1" t="n">
        <v>45511</v>
      </c>
      <c r="D345" t="inlineStr">
        <is>
          <t>VÄSTRA GÖTALANDS LÄN</t>
        </is>
      </c>
      <c r="E345" t="inlineStr">
        <is>
          <t>GULLSPÅNG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3645-2024</t>
        </is>
      </c>
      <c r="B346" s="1" t="n">
        <v>45321</v>
      </c>
      <c r="C346" s="1" t="n">
        <v>45511</v>
      </c>
      <c r="D346" t="inlineStr">
        <is>
          <t>VÄSTRA GÖTALANDS LÄN</t>
        </is>
      </c>
      <c r="E346" t="inlineStr">
        <is>
          <t>GULLSPÅNG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4202-2024</t>
        </is>
      </c>
      <c r="B347" s="1" t="n">
        <v>45324</v>
      </c>
      <c r="C347" s="1" t="n">
        <v>45511</v>
      </c>
      <c r="D347" t="inlineStr">
        <is>
          <t>VÄSTRA GÖTALANDS LÄN</t>
        </is>
      </c>
      <c r="E347" t="inlineStr">
        <is>
          <t>GULLSPÅNG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5401-2024</t>
        </is>
      </c>
      <c r="B348" s="1" t="n">
        <v>45331</v>
      </c>
      <c r="C348" s="1" t="n">
        <v>45511</v>
      </c>
      <c r="D348" t="inlineStr">
        <is>
          <t>VÄSTRA GÖTALANDS LÄN</t>
        </is>
      </c>
      <c r="E348" t="inlineStr">
        <is>
          <t>GULLSPÅNG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5457-2024</t>
        </is>
      </c>
      <c r="B349" s="1" t="n">
        <v>45331</v>
      </c>
      <c r="C349" s="1" t="n">
        <v>45511</v>
      </c>
      <c r="D349" t="inlineStr">
        <is>
          <t>VÄSTRA GÖTALANDS LÄN</t>
        </is>
      </c>
      <c r="E349" t="inlineStr">
        <is>
          <t>GULLSPÅNG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5458-2024</t>
        </is>
      </c>
      <c r="B350" s="1" t="n">
        <v>45331</v>
      </c>
      <c r="C350" s="1" t="n">
        <v>45511</v>
      </c>
      <c r="D350" t="inlineStr">
        <is>
          <t>VÄSTRA GÖTALANDS LÄN</t>
        </is>
      </c>
      <c r="E350" t="inlineStr">
        <is>
          <t>GULLSPÅNG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5822-2024</t>
        </is>
      </c>
      <c r="B351" s="1" t="n">
        <v>45335</v>
      </c>
      <c r="C351" s="1" t="n">
        <v>45511</v>
      </c>
      <c r="D351" t="inlineStr">
        <is>
          <t>VÄSTRA GÖTALANDS LÄN</t>
        </is>
      </c>
      <c r="E351" t="inlineStr">
        <is>
          <t>GULLSPÅNG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5821-2024</t>
        </is>
      </c>
      <c r="B352" s="1" t="n">
        <v>45335</v>
      </c>
      <c r="C352" s="1" t="n">
        <v>45511</v>
      </c>
      <c r="D352" t="inlineStr">
        <is>
          <t>VÄSTRA GÖTALANDS LÄN</t>
        </is>
      </c>
      <c r="E352" t="inlineStr">
        <is>
          <t>GULLSPÅNG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5823-2024</t>
        </is>
      </c>
      <c r="B353" s="1" t="n">
        <v>45335</v>
      </c>
      <c r="C353" s="1" t="n">
        <v>45511</v>
      </c>
      <c r="D353" t="inlineStr">
        <is>
          <t>VÄSTRA GÖTALANDS LÄN</t>
        </is>
      </c>
      <c r="E353" t="inlineStr">
        <is>
          <t>GULLSPÅNG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6233-2024</t>
        </is>
      </c>
      <c r="B354" s="1" t="n">
        <v>45337</v>
      </c>
      <c r="C354" s="1" t="n">
        <v>45511</v>
      </c>
      <c r="D354" t="inlineStr">
        <is>
          <t>VÄSTRA GÖTALANDS LÄN</t>
        </is>
      </c>
      <c r="E354" t="inlineStr">
        <is>
          <t>GULLSPÅNG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6232-2024</t>
        </is>
      </c>
      <c r="B355" s="1" t="n">
        <v>45337</v>
      </c>
      <c r="C355" s="1" t="n">
        <v>45511</v>
      </c>
      <c r="D355" t="inlineStr">
        <is>
          <t>VÄSTRA GÖTALANDS LÄN</t>
        </is>
      </c>
      <c r="E355" t="inlineStr">
        <is>
          <t>GULLSPÅNG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10412-2024</t>
        </is>
      </c>
      <c r="B356" s="1" t="n">
        <v>45365</v>
      </c>
      <c r="C356" s="1" t="n">
        <v>45511</v>
      </c>
      <c r="D356" t="inlineStr">
        <is>
          <t>VÄSTRA GÖTALANDS LÄN</t>
        </is>
      </c>
      <c r="E356" t="inlineStr">
        <is>
          <t>GULLSPÅNG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10416-2024</t>
        </is>
      </c>
      <c r="B357" s="1" t="n">
        <v>45365</v>
      </c>
      <c r="C357" s="1" t="n">
        <v>45511</v>
      </c>
      <c r="D357" t="inlineStr">
        <is>
          <t>VÄSTRA GÖTALANDS LÄN</t>
        </is>
      </c>
      <c r="E357" t="inlineStr">
        <is>
          <t>GULLSPÅNG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10375-2024</t>
        </is>
      </c>
      <c r="B358" s="1" t="n">
        <v>45365</v>
      </c>
      <c r="C358" s="1" t="n">
        <v>45511</v>
      </c>
      <c r="D358" t="inlineStr">
        <is>
          <t>VÄSTRA GÖTALANDS LÄN</t>
        </is>
      </c>
      <c r="E358" t="inlineStr">
        <is>
          <t>GULLSPÅNG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10419-2024</t>
        </is>
      </c>
      <c r="B359" s="1" t="n">
        <v>45365</v>
      </c>
      <c r="C359" s="1" t="n">
        <v>45511</v>
      </c>
      <c r="D359" t="inlineStr">
        <is>
          <t>VÄSTRA GÖTALANDS LÄN</t>
        </is>
      </c>
      <c r="E359" t="inlineStr">
        <is>
          <t>GULLSPÅNG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10732-2024</t>
        </is>
      </c>
      <c r="B360" s="1" t="n">
        <v>45369</v>
      </c>
      <c r="C360" s="1" t="n">
        <v>45511</v>
      </c>
      <c r="D360" t="inlineStr">
        <is>
          <t>VÄSTRA GÖTALANDS LÄN</t>
        </is>
      </c>
      <c r="E360" t="inlineStr">
        <is>
          <t>GULLSPÅNG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11698-2024</t>
        </is>
      </c>
      <c r="B361" s="1" t="n">
        <v>45373</v>
      </c>
      <c r="C361" s="1" t="n">
        <v>45511</v>
      </c>
      <c r="D361" t="inlineStr">
        <is>
          <t>VÄSTRA GÖTALANDS LÄN</t>
        </is>
      </c>
      <c r="E361" t="inlineStr">
        <is>
          <t>GULLSPÅNG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11570-2024</t>
        </is>
      </c>
      <c r="B362" s="1" t="n">
        <v>45373</v>
      </c>
      <c r="C362" s="1" t="n">
        <v>45511</v>
      </c>
      <c r="D362" t="inlineStr">
        <is>
          <t>VÄSTRA GÖTALANDS LÄN</t>
        </is>
      </c>
      <c r="E362" t="inlineStr">
        <is>
          <t>GULLSPÅNG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13087-2024</t>
        </is>
      </c>
      <c r="B363" s="1" t="n">
        <v>45385</v>
      </c>
      <c r="C363" s="1" t="n">
        <v>45511</v>
      </c>
      <c r="D363" t="inlineStr">
        <is>
          <t>VÄSTRA GÖTALANDS LÄN</t>
        </is>
      </c>
      <c r="E363" t="inlineStr">
        <is>
          <t>GULLSPÅNG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14309-2024</t>
        </is>
      </c>
      <c r="B364" s="1" t="n">
        <v>45393</v>
      </c>
      <c r="C364" s="1" t="n">
        <v>45511</v>
      </c>
      <c r="D364" t="inlineStr">
        <is>
          <t>VÄSTRA GÖTALANDS LÄN</t>
        </is>
      </c>
      <c r="E364" t="inlineStr">
        <is>
          <t>GULLSPÅNG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14325-2024</t>
        </is>
      </c>
      <c r="B365" s="1" t="n">
        <v>45393</v>
      </c>
      <c r="C365" s="1" t="n">
        <v>45511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14267-2024</t>
        </is>
      </c>
      <c r="B366" s="1" t="n">
        <v>45393</v>
      </c>
      <c r="C366" s="1" t="n">
        <v>45511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14821-2024</t>
        </is>
      </c>
      <c r="B367" s="1" t="n">
        <v>45398</v>
      </c>
      <c r="C367" s="1" t="n">
        <v>45511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16276-2024</t>
        </is>
      </c>
      <c r="B368" s="1" t="n">
        <v>45407</v>
      </c>
      <c r="C368" s="1" t="n">
        <v>45511</v>
      </c>
      <c r="D368" t="inlineStr">
        <is>
          <t>VÄSTRA GÖTALANDS LÄN</t>
        </is>
      </c>
      <c r="E368" t="inlineStr">
        <is>
          <t>GULLSPÅNG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16910-2024</t>
        </is>
      </c>
      <c r="B369" s="1" t="n">
        <v>45411</v>
      </c>
      <c r="C369" s="1" t="n">
        <v>45511</v>
      </c>
      <c r="D369" t="inlineStr">
        <is>
          <t>VÄSTRA GÖTALANDS LÄN</t>
        </is>
      </c>
      <c r="E369" t="inlineStr">
        <is>
          <t>GULLSPÅNG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20542-2024</t>
        </is>
      </c>
      <c r="B370" s="1" t="n">
        <v>45436</v>
      </c>
      <c r="C370" s="1" t="n">
        <v>45511</v>
      </c>
      <c r="D370" t="inlineStr">
        <is>
          <t>VÄSTRA GÖTALANDS LÄN</t>
        </is>
      </c>
      <c r="E370" t="inlineStr">
        <is>
          <t>GULLSPÅNG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20545-2024</t>
        </is>
      </c>
      <c r="B371" s="1" t="n">
        <v>45436</v>
      </c>
      <c r="C371" s="1" t="n">
        <v>45511</v>
      </c>
      <c r="D371" t="inlineStr">
        <is>
          <t>VÄSTRA GÖTALANDS LÄN</t>
        </is>
      </c>
      <c r="E371" t="inlineStr">
        <is>
          <t>GULLSPÅNG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22634-2024</t>
        </is>
      </c>
      <c r="B372" s="1" t="n">
        <v>45447</v>
      </c>
      <c r="C372" s="1" t="n">
        <v>45511</v>
      </c>
      <c r="D372" t="inlineStr">
        <is>
          <t>VÄSTRA GÖTALANDS LÄN</t>
        </is>
      </c>
      <c r="E372" t="inlineStr">
        <is>
          <t>GULLSPÅNG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22925-2024</t>
        </is>
      </c>
      <c r="B373" s="1" t="n">
        <v>45448</v>
      </c>
      <c r="C373" s="1" t="n">
        <v>45511</v>
      </c>
      <c r="D373" t="inlineStr">
        <is>
          <t>VÄSTRA GÖTALANDS LÄN</t>
        </is>
      </c>
      <c r="E373" t="inlineStr">
        <is>
          <t>GULLSPÅNG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22926-2024</t>
        </is>
      </c>
      <c r="B374" s="1" t="n">
        <v>45448</v>
      </c>
      <c r="C374" s="1" t="n">
        <v>45511</v>
      </c>
      <c r="D374" t="inlineStr">
        <is>
          <t>VÄSTRA GÖTALANDS LÄN</t>
        </is>
      </c>
      <c r="E374" t="inlineStr">
        <is>
          <t>GULLSPÅNG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25650-2024</t>
        </is>
      </c>
      <c r="B375" s="1" t="n">
        <v>45463</v>
      </c>
      <c r="C375" s="1" t="n">
        <v>45511</v>
      </c>
      <c r="D375" t="inlineStr">
        <is>
          <t>VÄSTRA GÖTALANDS LÄN</t>
        </is>
      </c>
      <c r="E375" t="inlineStr">
        <is>
          <t>GULLSPÅNG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25646-2024</t>
        </is>
      </c>
      <c r="B376" s="1" t="n">
        <v>45463</v>
      </c>
      <c r="C376" s="1" t="n">
        <v>45511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26798-2024</t>
        </is>
      </c>
      <c r="B377" s="1" t="n">
        <v>45470</v>
      </c>
      <c r="C377" s="1" t="n">
        <v>45511</v>
      </c>
      <c r="D377" t="inlineStr">
        <is>
          <t>VÄSTRA GÖTALANDS LÄN</t>
        </is>
      </c>
      <c r="E377" t="inlineStr">
        <is>
          <t>GULLSPÅNG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26797-2024</t>
        </is>
      </c>
      <c r="B378" s="1" t="n">
        <v>45470</v>
      </c>
      <c r="C378" s="1" t="n">
        <v>45511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27260-2024</t>
        </is>
      </c>
      <c r="B379" s="1" t="n">
        <v>45471</v>
      </c>
      <c r="C379" s="1" t="n">
        <v>45511</v>
      </c>
      <c r="D379" t="inlineStr">
        <is>
          <t>VÄSTRA GÖTALANDS LÄN</t>
        </is>
      </c>
      <c r="E379" t="inlineStr">
        <is>
          <t>GULLSPÅNG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29423-2024</t>
        </is>
      </c>
      <c r="B380" s="1" t="n">
        <v>45483</v>
      </c>
      <c r="C380" s="1" t="n">
        <v>45511</v>
      </c>
      <c r="D380" t="inlineStr">
        <is>
          <t>VÄSTRA GÖTALANDS LÄN</t>
        </is>
      </c>
      <c r="E380" t="inlineStr">
        <is>
          <t>GULLSPÅNG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31833-2024</t>
        </is>
      </c>
      <c r="B381" s="1" t="n">
        <v>45509</v>
      </c>
      <c r="C381" s="1" t="n">
        <v>45511</v>
      </c>
      <c r="D381" t="inlineStr">
        <is>
          <t>VÄSTRA GÖTALANDS LÄN</t>
        </is>
      </c>
      <c r="E381" t="inlineStr">
        <is>
          <t>GULLSPÅNG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2024-08-07T10:40:38Z</dcterms:created>
  <dcterms:modified xmlns:dcterms="http://purl.org/dc/terms/" xmlns:xsi="http://www.w3.org/2001/XMLSchema-instance" xsi:type="dcterms:W3CDTF">2024-08-07T10:40:39Z</dcterms:modified>
</cp:coreProperties>
</file>