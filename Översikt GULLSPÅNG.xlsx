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46204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46204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46204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46204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46204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46204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46204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46204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s="1" t="n">
        <v>45821</v>
      </c>
      <c r="C13" s="1" t="n">
        <v>46204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HYPERLINK("https://klasma.github.io/Logging_1447/artfynd/A 29176-2025 artfynd.xlsx", "A 29176-2025")</f>
        <v/>
      </c>
      <c r="T13">
        <f>HYPERLINK("https://klasma.github.io/Logging_1447/kartor/A 29176-2025 karta.png", "A 29176-2025")</f>
        <v/>
      </c>
      <c r="V13">
        <f>HYPERLINK("https://klasma.github.io/Logging_1447/klagomål/A 29176-2025 FSC-klagomål.docx", "A 29176-2025")</f>
        <v/>
      </c>
      <c r="W13">
        <f>HYPERLINK("https://klasma.github.io/Logging_1447/klagomålsmail/A 29176-2025 FSC-klagomål mail.docx", "A 29176-2025")</f>
        <v/>
      </c>
      <c r="X13">
        <f>HYPERLINK("https://klasma.github.io/Logging_1447/tillsyn/A 29176-2025 tillsynsbegäran.docx", "A 29176-2025")</f>
        <v/>
      </c>
      <c r="Y13">
        <f>HYPERLINK("https://klasma.github.io/Logging_1447/tillsynsmail/A 29176-2025 tillsynsbegäran mail.docx", "A 29176-2025")</f>
        <v/>
      </c>
    </row>
    <row r="14" ht="15" customHeight="1">
      <c r="A14" t="inlineStr">
        <is>
          <t>A 10393-2025</t>
        </is>
      </c>
      <c r="B14" s="1" t="n">
        <v>45720</v>
      </c>
      <c r="C14" s="1" t="n">
        <v>46204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HYPERLINK("https://klasma.github.io/Logging_1447/artfynd/A 10393-2025 artfynd.xlsx", "A 10393-2025")</f>
        <v/>
      </c>
      <c r="T14">
        <f>HYPERLINK("https://klasma.github.io/Logging_1447/kartor/A 10393-2025 karta.png", "A 10393-2025")</f>
        <v/>
      </c>
      <c r="V14">
        <f>HYPERLINK("https://klasma.github.io/Logging_1447/klagomål/A 10393-2025 FSC-klagomål.docx", "A 10393-2025")</f>
        <v/>
      </c>
      <c r="W14">
        <f>HYPERLINK("https://klasma.github.io/Logging_1447/klagomålsmail/A 10393-2025 FSC-klagomål mail.docx", "A 10393-2025")</f>
        <v/>
      </c>
      <c r="X14">
        <f>HYPERLINK("https://klasma.github.io/Logging_1447/tillsyn/A 10393-2025 tillsynsbegäran.docx", "A 10393-2025")</f>
        <v/>
      </c>
      <c r="Y14">
        <f>HYPERLINK("https://klasma.github.io/Logging_1447/tillsynsmail/A 10393-2025 tillsynsbegäran mail.docx", "A 10393-2025")</f>
        <v/>
      </c>
    </row>
    <row r="15" ht="15" customHeight="1">
      <c r="A15" t="inlineStr">
        <is>
          <t>A 12709-2025</t>
        </is>
      </c>
      <c r="B15" s="1" t="n">
        <v>45733</v>
      </c>
      <c r="C15" s="1" t="n">
        <v>46204</v>
      </c>
      <c r="D15" t="inlineStr">
        <is>
          <t>VÄSTRA GÖTALANDS LÄN</t>
        </is>
      </c>
      <c r="E15" t="inlineStr">
        <is>
          <t>GULLSPÅNG</t>
        </is>
      </c>
      <c r="G15" t="n">
        <v>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12709-2025 artfynd.xlsx", "A 12709-2025")</f>
        <v/>
      </c>
      <c r="T15">
        <f>HYPERLINK("https://klasma.github.io/Logging_1447/kartor/A 12709-2025 karta.png", "A 12709-2025")</f>
        <v/>
      </c>
      <c r="U15">
        <f>HYPERLINK("https://klasma.github.io/Logging_1447/knärot/A 12709-2025 karta knärot.png", "A 12709-2025")</f>
        <v/>
      </c>
      <c r="V15">
        <f>HYPERLINK("https://klasma.github.io/Logging_1447/klagomål/A 12709-2025 FSC-klagomål.docx", "A 12709-2025")</f>
        <v/>
      </c>
      <c r="W15">
        <f>HYPERLINK("https://klasma.github.io/Logging_1447/klagomålsmail/A 12709-2025 FSC-klagomål mail.docx", "A 12709-2025")</f>
        <v/>
      </c>
      <c r="X15">
        <f>HYPERLINK("https://klasma.github.io/Logging_1447/tillsyn/A 12709-2025 tillsynsbegäran.docx", "A 12709-2025")</f>
        <v/>
      </c>
      <c r="Y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46204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46204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46204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46204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46431-2022</t>
        </is>
      </c>
      <c r="B21" s="1" t="n">
        <v>44846</v>
      </c>
      <c r="C21" s="1" t="n">
        <v>46204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49026-2021</t>
        </is>
      </c>
      <c r="B22" s="1" t="n">
        <v>44453</v>
      </c>
      <c r="C22" s="1" t="n">
        <v>46204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46204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46204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46204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44072-2021</t>
        </is>
      </c>
      <c r="B27" s="1" t="n">
        <v>44434</v>
      </c>
      <c r="C27" s="1" t="n">
        <v>46204</v>
      </c>
      <c r="D27" t="inlineStr">
        <is>
          <t>VÄSTRA GÖTALANDS LÄN</t>
        </is>
      </c>
      <c r="E27" t="inlineStr">
        <is>
          <t>GULLSPÅNG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47173-2021</t>
        </is>
      </c>
      <c r="B28" s="1" t="n">
        <v>44447</v>
      </c>
      <c r="C28" s="1" t="n">
        <v>46204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46204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46204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46204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</v>
      </c>
      <c r="C32" s="1" t="n">
        <v>46204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60681-2021</t>
        </is>
      </c>
      <c r="B33" s="1" t="n">
        <v>44496</v>
      </c>
      <c r="C33" s="1" t="n">
        <v>46204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2640-2022</t>
        </is>
      </c>
      <c r="B34" s="1" t="n">
        <v>44580</v>
      </c>
      <c r="C34" s="1" t="n">
        <v>46204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43749-2021</t>
        </is>
      </c>
      <c r="B35" s="1" t="n">
        <v>44433</v>
      </c>
      <c r="C35" s="1" t="n">
        <v>46204</v>
      </c>
      <c r="D35" t="inlineStr">
        <is>
          <t>VÄSTRA GÖTALANDS LÄN</t>
        </is>
      </c>
      <c r="E35" t="inlineStr">
        <is>
          <t>GULLSPÅNG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46204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46204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46204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40935-2021</t>
        </is>
      </c>
      <c r="B39" s="1" t="n">
        <v>44421</v>
      </c>
      <c r="C39" s="1" t="n">
        <v>46204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46204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46204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46204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46204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28101-2022</t>
        </is>
      </c>
      <c r="B44" s="1" t="n">
        <v>44746</v>
      </c>
      <c r="C44" s="1" t="n">
        <v>46204</v>
      </c>
      <c r="D44" t="inlineStr">
        <is>
          <t>VÄSTRA GÖTALANDS LÄN</t>
        </is>
      </c>
      <c r="E44" t="inlineStr">
        <is>
          <t>GULLSPÅNG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71009-2021</t>
        </is>
      </c>
      <c r="B45" s="1" t="n">
        <v>44538</v>
      </c>
      <c r="C45" s="1" t="n">
        <v>46204</v>
      </c>
      <c r="D45" t="inlineStr">
        <is>
          <t>VÄSTRA GÖTALANDS LÄN</t>
        </is>
      </c>
      <c r="E45" t="inlineStr">
        <is>
          <t>GULLSPÅNG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46204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46204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68517-2021</t>
        </is>
      </c>
      <c r="B48" s="1" t="n">
        <v>44525</v>
      </c>
      <c r="C48" s="1" t="n">
        <v>46204</v>
      </c>
      <c r="D48" t="inlineStr">
        <is>
          <t>VÄSTRA GÖTALANDS LÄN</t>
        </is>
      </c>
      <c r="E48" t="inlineStr">
        <is>
          <t>GULLSPÅNG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9423-2022</t>
        </is>
      </c>
      <c r="B49" s="1" t="n">
        <v>44616</v>
      </c>
      <c r="C49" s="1" t="n">
        <v>46204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</v>
      </c>
      <c r="C50" s="1" t="n">
        <v>46204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</v>
      </c>
      <c r="C51" s="1" t="n">
        <v>46204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34659-2021</t>
        </is>
      </c>
      <c r="B52" s="1" t="n">
        <v>44382</v>
      </c>
      <c r="C52" s="1" t="n">
        <v>46204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56517-2024</t>
        </is>
      </c>
      <c r="B53" s="1" t="n">
        <v>45625</v>
      </c>
      <c r="C53" s="1" t="n">
        <v>46204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56531-2024</t>
        </is>
      </c>
      <c r="B54" s="1" t="n">
        <v>45625</v>
      </c>
      <c r="C54" s="1" t="n">
        <v>46204</v>
      </c>
      <c r="D54" t="inlineStr">
        <is>
          <t>VÄSTRA GÖTALANDS LÄN</t>
        </is>
      </c>
      <c r="E54" t="inlineStr">
        <is>
          <t>GULLSPÅNG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5823-2024</t>
        </is>
      </c>
      <c r="B55" s="1" t="n">
        <v>45335</v>
      </c>
      <c r="C55" s="1" t="n">
        <v>46204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35149-2022</t>
        </is>
      </c>
      <c r="B56" s="1" t="n">
        <v>44797</v>
      </c>
      <c r="C56" s="1" t="n">
        <v>46204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64350-2023</t>
        </is>
      </c>
      <c r="B57" s="1" t="n">
        <v>45280</v>
      </c>
      <c r="C57" s="1" t="n">
        <v>46204</v>
      </c>
      <c r="D57" t="inlineStr">
        <is>
          <t>VÄSTRA GÖTALANDS LÄN</t>
        </is>
      </c>
      <c r="E57" t="inlineStr">
        <is>
          <t>GULLSPÅNG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13049-2023</t>
        </is>
      </c>
      <c r="B58" s="1" t="n">
        <v>45002</v>
      </c>
      <c r="C58" s="1" t="n">
        <v>46204</v>
      </c>
      <c r="D58" t="inlineStr">
        <is>
          <t>VÄSTRA GÖTALANDS LÄN</t>
        </is>
      </c>
      <c r="E58" t="inlineStr">
        <is>
          <t>GULLSPÅNG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58832-2023</t>
        </is>
      </c>
      <c r="B59" s="1" t="n">
        <v>45247</v>
      </c>
      <c r="C59" s="1" t="n">
        <v>46204</v>
      </c>
      <c r="D59" t="inlineStr">
        <is>
          <t>VÄSTRA GÖTALANDS LÄN</t>
        </is>
      </c>
      <c r="E59" t="inlineStr">
        <is>
          <t>GULLSPÅNG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29203-2023</t>
        </is>
      </c>
      <c r="B60" s="1" t="n">
        <v>45097</v>
      </c>
      <c r="C60" s="1" t="n">
        <v>46204</v>
      </c>
      <c r="D60" t="inlineStr">
        <is>
          <t>VÄSTRA GÖTALANDS LÄN</t>
        </is>
      </c>
      <c r="E60" t="inlineStr">
        <is>
          <t>GULLSPÅNG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11809-2025</t>
        </is>
      </c>
      <c r="B61" s="1" t="n">
        <v>45727</v>
      </c>
      <c r="C61" s="1" t="n">
        <v>46204</v>
      </c>
      <c r="D61" t="inlineStr">
        <is>
          <t>VÄSTRA GÖTALANDS LÄN</t>
        </is>
      </c>
      <c r="E61" t="inlineStr">
        <is>
          <t>GULLSPÅNG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2633-2022</t>
        </is>
      </c>
      <c r="B62" s="1" t="n">
        <v>44580</v>
      </c>
      <c r="C62" s="1" t="n">
        <v>46204</v>
      </c>
      <c r="D62" t="inlineStr">
        <is>
          <t>VÄSTRA GÖTALANDS LÄN</t>
        </is>
      </c>
      <c r="E62" t="inlineStr">
        <is>
          <t>GULLSPÅNG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59193-2024</t>
        </is>
      </c>
      <c r="B63" s="1" t="n">
        <v>45636</v>
      </c>
      <c r="C63" s="1" t="n">
        <v>46204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57287-2024</t>
        </is>
      </c>
      <c r="B64" s="1" t="n">
        <v>45629</v>
      </c>
      <c r="C64" s="1" t="n">
        <v>46204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28097-2022</t>
        </is>
      </c>
      <c r="B65" s="1" t="n">
        <v>44746</v>
      </c>
      <c r="C65" s="1" t="n">
        <v>46204</v>
      </c>
      <c r="D65" t="inlineStr">
        <is>
          <t>VÄSTRA GÖTALANDS LÄN</t>
        </is>
      </c>
      <c r="E65" t="inlineStr">
        <is>
          <t>GULLSPÅNG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49922-2024</t>
        </is>
      </c>
      <c r="B66" s="1" t="n">
        <v>45597</v>
      </c>
      <c r="C66" s="1" t="n">
        <v>46204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61289-2023</t>
        </is>
      </c>
      <c r="B67" s="1" t="n">
        <v>45260</v>
      </c>
      <c r="C67" s="1" t="n">
        <v>46204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60091-2023</t>
        </is>
      </c>
      <c r="B68" s="1" t="n">
        <v>45258</v>
      </c>
      <c r="C68" s="1" t="n">
        <v>46204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26441-2022</t>
        </is>
      </c>
      <c r="B69" s="1" t="n">
        <v>44738</v>
      </c>
      <c r="C69" s="1" t="n">
        <v>46204</v>
      </c>
      <c r="D69" t="inlineStr">
        <is>
          <t>VÄSTRA GÖTALANDS LÄN</t>
        </is>
      </c>
      <c r="E69" t="inlineStr">
        <is>
          <t>GULLSPÅNG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63206-2023</t>
        </is>
      </c>
      <c r="B70" s="1" t="n">
        <v>45273</v>
      </c>
      <c r="C70" s="1" t="n">
        <v>46204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16910-2024</t>
        </is>
      </c>
      <c r="B71" s="1" t="n">
        <v>45411</v>
      </c>
      <c r="C71" s="1" t="n">
        <v>46204</v>
      </c>
      <c r="D71" t="inlineStr">
        <is>
          <t>VÄSTRA GÖTALANDS LÄN</t>
        </is>
      </c>
      <c r="E71" t="inlineStr">
        <is>
          <t>GULLSPÅNG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37492-2021</t>
        </is>
      </c>
      <c r="B72" s="1" t="n">
        <v>44398</v>
      </c>
      <c r="C72" s="1" t="n">
        <v>46204</v>
      </c>
      <c r="D72" t="inlineStr">
        <is>
          <t>VÄSTRA GÖTALANDS LÄN</t>
        </is>
      </c>
      <c r="E72" t="inlineStr">
        <is>
          <t>GULLSPÅNG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42769-2022</t>
        </is>
      </c>
      <c r="B73" s="1" t="n">
        <v>44832</v>
      </c>
      <c r="C73" s="1" t="n">
        <v>46204</v>
      </c>
      <c r="D73" t="inlineStr">
        <is>
          <t>VÄSTRA GÖTALANDS LÄN</t>
        </is>
      </c>
      <c r="E73" t="inlineStr">
        <is>
          <t>GULLSPÅNG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29815-2025</t>
        </is>
      </c>
      <c r="B74" s="1" t="n">
        <v>45825</v>
      </c>
      <c r="C74" s="1" t="n">
        <v>46204</v>
      </c>
      <c r="D74" t="inlineStr">
        <is>
          <t>VÄSTRA GÖTALANDS LÄN</t>
        </is>
      </c>
      <c r="E74" t="inlineStr">
        <is>
          <t>GULLSPÅNG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49920-2024</t>
        </is>
      </c>
      <c r="B75" s="1" t="n">
        <v>45597</v>
      </c>
      <c r="C75" s="1" t="n">
        <v>46204</v>
      </c>
      <c r="D75" t="inlineStr">
        <is>
          <t>VÄSTRA GÖTALANDS LÄN</t>
        </is>
      </c>
      <c r="E75" t="inlineStr">
        <is>
          <t>GULLSPÅNG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7396-2026</t>
        </is>
      </c>
      <c r="B76" s="1" t="n">
        <v>46059</v>
      </c>
      <c r="C76" s="1" t="n">
        <v>46204</v>
      </c>
      <c r="D76" t="inlineStr">
        <is>
          <t>VÄSTRA GÖTALANDS LÄN</t>
        </is>
      </c>
      <c r="E76" t="inlineStr">
        <is>
          <t>GULLSPÅNG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4290-2023</t>
        </is>
      </c>
      <c r="B77" s="1" t="n">
        <v>44953</v>
      </c>
      <c r="C77" s="1" t="n">
        <v>46204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7818-2026</t>
        </is>
      </c>
      <c r="B78" s="1" t="n">
        <v>46062</v>
      </c>
      <c r="C78" s="1" t="n">
        <v>46204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59373-2023</t>
        </is>
      </c>
      <c r="B79" s="1" t="n">
        <v>45253</v>
      </c>
      <c r="C79" s="1" t="n">
        <v>46204</v>
      </c>
      <c r="D79" t="inlineStr">
        <is>
          <t>VÄSTRA GÖTALANDS LÄN</t>
        </is>
      </c>
      <c r="E79" t="inlineStr">
        <is>
          <t>GULLSPÅNG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35429-2023</t>
        </is>
      </c>
      <c r="B80" s="1" t="n">
        <v>45146</v>
      </c>
      <c r="C80" s="1" t="n">
        <v>46204</v>
      </c>
      <c r="D80" t="inlineStr">
        <is>
          <t>VÄSTRA GÖTALANDS LÄN</t>
        </is>
      </c>
      <c r="E80" t="inlineStr">
        <is>
          <t>GULLSPÅNG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45056-2021</t>
        </is>
      </c>
      <c r="B81" s="1" t="n">
        <v>44439</v>
      </c>
      <c r="C81" s="1" t="n">
        <v>46204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44643-2021</t>
        </is>
      </c>
      <c r="B82" s="1" t="n">
        <v>44437</v>
      </c>
      <c r="C82" s="1" t="n">
        <v>46204</v>
      </c>
      <c r="D82" t="inlineStr">
        <is>
          <t>VÄSTRA GÖTALANDS LÄN</t>
        </is>
      </c>
      <c r="E82" t="inlineStr">
        <is>
          <t>GULLSPÅNG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23019-2025</t>
        </is>
      </c>
      <c r="B83" s="1" t="n">
        <v>45790</v>
      </c>
      <c r="C83" s="1" t="n">
        <v>46204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11805-2025</t>
        </is>
      </c>
      <c r="B84" s="1" t="n">
        <v>45727</v>
      </c>
      <c r="C84" s="1" t="n">
        <v>46204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11820-2025</t>
        </is>
      </c>
      <c r="B85" s="1" t="n">
        <v>45728</v>
      </c>
      <c r="C85" s="1" t="n">
        <v>46204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45059-2021</t>
        </is>
      </c>
      <c r="B86" s="1" t="n">
        <v>44439</v>
      </c>
      <c r="C86" s="1" t="n">
        <v>46204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44644-2021</t>
        </is>
      </c>
      <c r="B87" s="1" t="n">
        <v>44437</v>
      </c>
      <c r="C87" s="1" t="n">
        <v>46204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9221-2026</t>
        </is>
      </c>
      <c r="B88" s="1" t="n">
        <v>46070</v>
      </c>
      <c r="C88" s="1" t="n">
        <v>46204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9226-2026</t>
        </is>
      </c>
      <c r="B89" s="1" t="n">
        <v>46070</v>
      </c>
      <c r="C89" s="1" t="n">
        <v>46204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63039-2023</t>
        </is>
      </c>
      <c r="B90" s="1" t="n">
        <v>45272</v>
      </c>
      <c r="C90" s="1" t="n">
        <v>46204</v>
      </c>
      <c r="D90" t="inlineStr">
        <is>
          <t>VÄSTRA GÖTALANDS LÄN</t>
        </is>
      </c>
      <c r="E90" t="inlineStr">
        <is>
          <t>GULLSPÅNG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9742-2026</t>
        </is>
      </c>
      <c r="B91" s="1" t="n">
        <v>46072</v>
      </c>
      <c r="C91" s="1" t="n">
        <v>46204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59965-2023</t>
        </is>
      </c>
      <c r="B92" s="1" t="n">
        <v>45257</v>
      </c>
      <c r="C92" s="1" t="n">
        <v>46204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36581-2025</t>
        </is>
      </c>
      <c r="B93" s="1" t="n">
        <v>45869</v>
      </c>
      <c r="C93" s="1" t="n">
        <v>46204</v>
      </c>
      <c r="D93" t="inlineStr">
        <is>
          <t>VÄSTRA GÖTALANDS LÄN</t>
        </is>
      </c>
      <c r="E93" t="inlineStr">
        <is>
          <t>GULLSPÅNG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36573-2025</t>
        </is>
      </c>
      <c r="B94" s="1" t="n">
        <v>45869</v>
      </c>
      <c r="C94" s="1" t="n">
        <v>46204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64722-2023</t>
        </is>
      </c>
      <c r="B95" s="1" t="n">
        <v>45281</v>
      </c>
      <c r="C95" s="1" t="n">
        <v>46204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45101-2021</t>
        </is>
      </c>
      <c r="B96" s="1" t="n">
        <v>44439</v>
      </c>
      <c r="C96" s="1" t="n">
        <v>46204</v>
      </c>
      <c r="D96" t="inlineStr">
        <is>
          <t>VÄSTRA GÖTALANDS LÄN</t>
        </is>
      </c>
      <c r="E96" t="inlineStr">
        <is>
          <t>GULLSPÅNG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56479-2024</t>
        </is>
      </c>
      <c r="B97" s="1" t="n">
        <v>45624</v>
      </c>
      <c r="C97" s="1" t="n">
        <v>46204</v>
      </c>
      <c r="D97" t="inlineStr">
        <is>
          <t>VÄSTRA GÖTALANDS LÄN</t>
        </is>
      </c>
      <c r="E97" t="inlineStr">
        <is>
          <t>GULLSPÅNG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12215-2025</t>
        </is>
      </c>
      <c r="B98" s="1" t="n">
        <v>45729</v>
      </c>
      <c r="C98" s="1" t="n">
        <v>46204</v>
      </c>
      <c r="D98" t="inlineStr">
        <is>
          <t>VÄSTRA GÖTALANDS LÄN</t>
        </is>
      </c>
      <c r="E98" t="inlineStr">
        <is>
          <t>GULLSPÅNG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46480-2022</t>
        </is>
      </c>
      <c r="B99" s="1" t="n">
        <v>44847</v>
      </c>
      <c r="C99" s="1" t="n">
        <v>46204</v>
      </c>
      <c r="D99" t="inlineStr">
        <is>
          <t>VÄSTRA GÖTALANDS LÄN</t>
        </is>
      </c>
      <c r="E99" t="inlineStr">
        <is>
          <t>GULLSPÅNG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15147-2025</t>
        </is>
      </c>
      <c r="B100" s="1" t="n">
        <v>45744</v>
      </c>
      <c r="C100" s="1" t="n">
        <v>46204</v>
      </c>
      <c r="D100" t="inlineStr">
        <is>
          <t>VÄSTRA GÖTALANDS LÄN</t>
        </is>
      </c>
      <c r="E100" t="inlineStr">
        <is>
          <t>GULLSPÅNG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44718-2025</t>
        </is>
      </c>
      <c r="B101" s="1" t="n">
        <v>45917</v>
      </c>
      <c r="C101" s="1" t="n">
        <v>46204</v>
      </c>
      <c r="D101" t="inlineStr">
        <is>
          <t>VÄSTRA GÖTALANDS LÄN</t>
        </is>
      </c>
      <c r="E101" t="inlineStr">
        <is>
          <t>GULLSPÅNG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44720-2025</t>
        </is>
      </c>
      <c r="B102" s="1" t="n">
        <v>45917</v>
      </c>
      <c r="C102" s="1" t="n">
        <v>46204</v>
      </c>
      <c r="D102" t="inlineStr">
        <is>
          <t>VÄSTRA GÖTALANDS LÄN</t>
        </is>
      </c>
      <c r="E102" t="inlineStr">
        <is>
          <t>GULLSPÅNG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3313-2024</t>
        </is>
      </c>
      <c r="B103" s="1" t="n">
        <v>45317</v>
      </c>
      <c r="C103" s="1" t="n">
        <v>46204</v>
      </c>
      <c r="D103" t="inlineStr">
        <is>
          <t>VÄSTRA GÖTALANDS LÄN</t>
        </is>
      </c>
      <c r="E103" t="inlineStr">
        <is>
          <t>GULLSPÅNG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10416-2024</t>
        </is>
      </c>
      <c r="B104" s="1" t="n">
        <v>45365</v>
      </c>
      <c r="C104" s="1" t="n">
        <v>46204</v>
      </c>
      <c r="D104" t="inlineStr">
        <is>
          <t>VÄSTRA GÖTALANDS LÄN</t>
        </is>
      </c>
      <c r="E104" t="inlineStr">
        <is>
          <t>GULLSPÅNG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6360-2023</t>
        </is>
      </c>
      <c r="B105" s="1" t="n">
        <v>44965</v>
      </c>
      <c r="C105" s="1" t="n">
        <v>46204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6374-2023</t>
        </is>
      </c>
      <c r="B106" s="1" t="n">
        <v>44965</v>
      </c>
      <c r="C106" s="1" t="n">
        <v>46204</v>
      </c>
      <c r="D106" t="inlineStr">
        <is>
          <t>VÄSTRA GÖTALANDS LÄN</t>
        </is>
      </c>
      <c r="E106" t="inlineStr">
        <is>
          <t>GULLSPÅNG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37920-2025</t>
        </is>
      </c>
      <c r="B107" s="1" t="n">
        <v>45881</v>
      </c>
      <c r="C107" s="1" t="n">
        <v>46204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37925-2025</t>
        </is>
      </c>
      <c r="B108" s="1" t="n">
        <v>45881</v>
      </c>
      <c r="C108" s="1" t="n">
        <v>46204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59864-2024</t>
        </is>
      </c>
      <c r="B109" s="1" t="n">
        <v>45639</v>
      </c>
      <c r="C109" s="1" t="n">
        <v>46204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50587-2022</t>
        </is>
      </c>
      <c r="B110" s="1" t="n">
        <v>44861</v>
      </c>
      <c r="C110" s="1" t="n">
        <v>46204</v>
      </c>
      <c r="D110" t="inlineStr">
        <is>
          <t>VÄSTRA GÖTALANDS LÄN</t>
        </is>
      </c>
      <c r="E110" t="inlineStr">
        <is>
          <t>GULLSPÅNG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47189-2025</t>
        </is>
      </c>
      <c r="B111" s="1" t="n">
        <v>45930</v>
      </c>
      <c r="C111" s="1" t="n">
        <v>46204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11758-2026</t>
        </is>
      </c>
      <c r="B112" s="1" t="n">
        <v>46084</v>
      </c>
      <c r="C112" s="1" t="n">
        <v>46204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47516-2025</t>
        </is>
      </c>
      <c r="B113" s="1" t="n">
        <v>45931</v>
      </c>
      <c r="C113" s="1" t="n">
        <v>46204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39887-2022</t>
        </is>
      </c>
      <c r="B114" s="1" t="n">
        <v>44819</v>
      </c>
      <c r="C114" s="1" t="n">
        <v>46204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11563-2026</t>
        </is>
      </c>
      <c r="B115" s="1" t="n">
        <v>46084</v>
      </c>
      <c r="C115" s="1" t="n">
        <v>46204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12069-2026</t>
        </is>
      </c>
      <c r="B116" s="1" t="n">
        <v>46086</v>
      </c>
      <c r="C116" s="1" t="n">
        <v>46204</v>
      </c>
      <c r="D116" t="inlineStr">
        <is>
          <t>VÄSTRA GÖTALANDS LÄN</t>
        </is>
      </c>
      <c r="E116" t="inlineStr">
        <is>
          <t>GULLSPÅNG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12070-2026</t>
        </is>
      </c>
      <c r="B117" s="1" t="n">
        <v>46086</v>
      </c>
      <c r="C117" s="1" t="n">
        <v>46204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11949-2026</t>
        </is>
      </c>
      <c r="B118" s="1" t="n">
        <v>46085</v>
      </c>
      <c r="C118" s="1" t="n">
        <v>46204</v>
      </c>
      <c r="D118" t="inlineStr">
        <is>
          <t>VÄSTRA GÖTALANDS LÄN</t>
        </is>
      </c>
      <c r="E118" t="inlineStr">
        <is>
          <t>GULLSPÅNG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11957-2026</t>
        </is>
      </c>
      <c r="B119" s="1" t="n">
        <v>46085</v>
      </c>
      <c r="C119" s="1" t="n">
        <v>46204</v>
      </c>
      <c r="D119" t="inlineStr">
        <is>
          <t>VÄSTRA GÖTALANDS LÄN</t>
        </is>
      </c>
      <c r="E119" t="inlineStr">
        <is>
          <t>GULLSPÅNG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58878-2023</t>
        </is>
      </c>
      <c r="B120" s="1" t="n">
        <v>45252</v>
      </c>
      <c r="C120" s="1" t="n">
        <v>46204</v>
      </c>
      <c r="D120" t="inlineStr">
        <is>
          <t>VÄSTRA GÖTALANDS LÄN</t>
        </is>
      </c>
      <c r="E120" t="inlineStr">
        <is>
          <t>GULLSPÅNG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12272-2026</t>
        </is>
      </c>
      <c r="B121" s="1" t="n">
        <v>46087</v>
      </c>
      <c r="C121" s="1" t="n">
        <v>46204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12514-2026</t>
        </is>
      </c>
      <c r="B122" s="1" t="n">
        <v>46090</v>
      </c>
      <c r="C122" s="1" t="n">
        <v>46204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59191-2023</t>
        </is>
      </c>
      <c r="B123" s="1" t="n">
        <v>45251</v>
      </c>
      <c r="C123" s="1" t="n">
        <v>46204</v>
      </c>
      <c r="D123" t="inlineStr">
        <is>
          <t>VÄSTRA GÖTALANDS LÄN</t>
        </is>
      </c>
      <c r="E123" t="inlineStr">
        <is>
          <t>GULLSPÅNG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59231-2023</t>
        </is>
      </c>
      <c r="B124" s="1" t="n">
        <v>45253</v>
      </c>
      <c r="C124" s="1" t="n">
        <v>46204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650-2024</t>
        </is>
      </c>
      <c r="B125" s="1" t="n">
        <v>45299</v>
      </c>
      <c r="C125" s="1" t="n">
        <v>46204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3645-2024</t>
        </is>
      </c>
      <c r="B126" s="1" t="n">
        <v>45321</v>
      </c>
      <c r="C126" s="1" t="n">
        <v>46204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10419-2024</t>
        </is>
      </c>
      <c r="B127" s="1" t="n">
        <v>45365</v>
      </c>
      <c r="C127" s="1" t="n">
        <v>46204</v>
      </c>
      <c r="D127" t="inlineStr">
        <is>
          <t>VÄSTRA GÖTALANDS LÄN</t>
        </is>
      </c>
      <c r="E127" t="inlineStr">
        <is>
          <t>GULLSPÅNG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13623-2026</t>
        </is>
      </c>
      <c r="B128" s="1" t="n">
        <v>46094</v>
      </c>
      <c r="C128" s="1" t="n">
        <v>46204</v>
      </c>
      <c r="D128" t="inlineStr">
        <is>
          <t>VÄSTRA GÖTALANDS LÄN</t>
        </is>
      </c>
      <c r="E128" t="inlineStr">
        <is>
          <t>GULLSPÅNG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51179-2025</t>
        </is>
      </c>
      <c r="B129" s="1" t="n">
        <v>45947</v>
      </c>
      <c r="C129" s="1" t="n">
        <v>46204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51076-2025</t>
        </is>
      </c>
      <c r="B130" s="1" t="n">
        <v>45947</v>
      </c>
      <c r="C130" s="1" t="n">
        <v>46204</v>
      </c>
      <c r="D130" t="inlineStr">
        <is>
          <t>VÄSTRA GÖTALANDS LÄN</t>
        </is>
      </c>
      <c r="E130" t="inlineStr">
        <is>
          <t>GULLSPÅNG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17388-2023</t>
        </is>
      </c>
      <c r="B131" s="1" t="n">
        <v>45035</v>
      </c>
      <c r="C131" s="1" t="n">
        <v>46204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51176-2025</t>
        </is>
      </c>
      <c r="B132" s="1" t="n">
        <v>45947</v>
      </c>
      <c r="C132" s="1" t="n">
        <v>46204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51065-2025</t>
        </is>
      </c>
      <c r="B133" s="1" t="n">
        <v>45947</v>
      </c>
      <c r="C133" s="1" t="n">
        <v>46204</v>
      </c>
      <c r="D133" t="inlineStr">
        <is>
          <t>VÄSTRA GÖTALANDS LÄN</t>
        </is>
      </c>
      <c r="E133" t="inlineStr">
        <is>
          <t>GULLSPÅNG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50736-2025</t>
        </is>
      </c>
      <c r="B134" s="1" t="n">
        <v>45946</v>
      </c>
      <c r="C134" s="1" t="n">
        <v>46204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9486-2023</t>
        </is>
      </c>
      <c r="B135" s="1" t="n">
        <v>44977</v>
      </c>
      <c r="C135" s="1" t="n">
        <v>46204</v>
      </c>
      <c r="D135" t="inlineStr">
        <is>
          <t>VÄSTRA GÖTALANDS LÄN</t>
        </is>
      </c>
      <c r="E135" t="inlineStr">
        <is>
          <t>GULLSPÅNG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32564-2023</t>
        </is>
      </c>
      <c r="B136" s="1" t="n">
        <v>45111</v>
      </c>
      <c r="C136" s="1" t="n">
        <v>46204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12476-2023</t>
        </is>
      </c>
      <c r="B137" s="1" t="n">
        <v>44999</v>
      </c>
      <c r="C137" s="1" t="n">
        <v>46204</v>
      </c>
      <c r="D137" t="inlineStr">
        <is>
          <t>VÄSTRA GÖTALANDS LÄN</t>
        </is>
      </c>
      <c r="E137" t="inlineStr">
        <is>
          <t>GULLSPÅNG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8792-2023</t>
        </is>
      </c>
      <c r="B138" s="1" t="n">
        <v>44978</v>
      </c>
      <c r="C138" s="1" t="n">
        <v>46204</v>
      </c>
      <c r="D138" t="inlineStr">
        <is>
          <t>VÄSTRA GÖTALANDS LÄN</t>
        </is>
      </c>
      <c r="E138" t="inlineStr">
        <is>
          <t>GULLSPÅNG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57289-2024</t>
        </is>
      </c>
      <c r="B139" s="1" t="n">
        <v>45629</v>
      </c>
      <c r="C139" s="1" t="n">
        <v>46204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14535-2026</t>
        </is>
      </c>
      <c r="B140" s="1" t="n">
        <v>46100</v>
      </c>
      <c r="C140" s="1" t="n">
        <v>46204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31989-2022</t>
        </is>
      </c>
      <c r="B141" s="1" t="n">
        <v>44778</v>
      </c>
      <c r="C141" s="1" t="n">
        <v>46204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15665-2026</t>
        </is>
      </c>
      <c r="B142" s="1" t="n">
        <v>46106</v>
      </c>
      <c r="C142" s="1" t="n">
        <v>46204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3334-2025</t>
        </is>
      </c>
      <c r="B143" s="1" t="n">
        <v>45679</v>
      </c>
      <c r="C143" s="1" t="n">
        <v>46204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39311-2023</t>
        </is>
      </c>
      <c r="B144" s="1" t="n">
        <v>45162</v>
      </c>
      <c r="C144" s="1" t="n">
        <v>46204</v>
      </c>
      <c r="D144" t="inlineStr">
        <is>
          <t>VÄSTRA GÖTALANDS LÄN</t>
        </is>
      </c>
      <c r="E144" t="inlineStr">
        <is>
          <t>GULLSPÅNG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32624-2023</t>
        </is>
      </c>
      <c r="B145" s="1" t="n">
        <v>45111</v>
      </c>
      <c r="C145" s="1" t="n">
        <v>46204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15989-2026</t>
        </is>
      </c>
      <c r="B146" s="1" t="n">
        <v>46108</v>
      </c>
      <c r="C146" s="1" t="n">
        <v>46204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8926-2022</t>
        </is>
      </c>
      <c r="B147" s="1" t="n">
        <v>44614</v>
      </c>
      <c r="C147" s="1" t="n">
        <v>46204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7323-2025</t>
        </is>
      </c>
      <c r="B148" s="1" t="n">
        <v>45702</v>
      </c>
      <c r="C148" s="1" t="n">
        <v>46204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16093-2026</t>
        </is>
      </c>
      <c r="B149" s="1" t="n">
        <v>46108</v>
      </c>
      <c r="C149" s="1" t="n">
        <v>46204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8794-2023</t>
        </is>
      </c>
      <c r="B150" s="1" t="n">
        <v>44978</v>
      </c>
      <c r="C150" s="1" t="n">
        <v>46204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44396-2024</t>
        </is>
      </c>
      <c r="B151" s="1" t="n">
        <v>45573</v>
      </c>
      <c r="C151" s="1" t="n">
        <v>46204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61356-2025</t>
        </is>
      </c>
      <c r="B152" s="1" t="n">
        <v>46000</v>
      </c>
      <c r="C152" s="1" t="n">
        <v>46204</v>
      </c>
      <c r="D152" t="inlineStr">
        <is>
          <t>VÄSTRA GÖTALANDS LÄN</t>
        </is>
      </c>
      <c r="E152" t="inlineStr">
        <is>
          <t>GULLSPÅNG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61358-2025</t>
        </is>
      </c>
      <c r="B153" s="1" t="n">
        <v>46000</v>
      </c>
      <c r="C153" s="1" t="n">
        <v>46204</v>
      </c>
      <c r="D153" t="inlineStr">
        <is>
          <t>VÄSTRA GÖTALANDS LÄN</t>
        </is>
      </c>
      <c r="E153" t="inlineStr">
        <is>
          <t>GULLSPÅNG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7640-2025</t>
        </is>
      </c>
      <c r="B154" s="1" t="n">
        <v>45705</v>
      </c>
      <c r="C154" s="1" t="n">
        <v>46204</v>
      </c>
      <c r="D154" t="inlineStr">
        <is>
          <t>VÄSTRA GÖTALANDS LÄN</t>
        </is>
      </c>
      <c r="E154" t="inlineStr">
        <is>
          <t>GULLSPÅNG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6232-2024</t>
        </is>
      </c>
      <c r="B155" s="1" t="n">
        <v>45337</v>
      </c>
      <c r="C155" s="1" t="n">
        <v>46204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61802-2025</t>
        </is>
      </c>
      <c r="B156" s="1" t="n">
        <v>46002</v>
      </c>
      <c r="C156" s="1" t="n">
        <v>46204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61807-2025</t>
        </is>
      </c>
      <c r="B157" s="1" t="n">
        <v>46002</v>
      </c>
      <c r="C157" s="1" t="n">
        <v>46204</v>
      </c>
      <c r="D157" t="inlineStr">
        <is>
          <t>VÄSTRA GÖTALANDS LÄN</t>
        </is>
      </c>
      <c r="E157" t="inlineStr">
        <is>
          <t>GULLSPÅNG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61803-2025</t>
        </is>
      </c>
      <c r="B158" s="1" t="n">
        <v>46002</v>
      </c>
      <c r="C158" s="1" t="n">
        <v>46204</v>
      </c>
      <c r="D158" t="inlineStr">
        <is>
          <t>VÄSTRA GÖTALANDS LÄN</t>
        </is>
      </c>
      <c r="E158" t="inlineStr">
        <is>
          <t>GULLSPÅNG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63556-2025</t>
        </is>
      </c>
      <c r="B159" s="1" t="n">
        <v>46013</v>
      </c>
      <c r="C159" s="1" t="n">
        <v>46204</v>
      </c>
      <c r="D159" t="inlineStr">
        <is>
          <t>VÄSTRA GÖTALANDS LÄN</t>
        </is>
      </c>
      <c r="E159" t="inlineStr">
        <is>
          <t>GULLSPÅNG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63405-2025</t>
        </is>
      </c>
      <c r="B160" s="1" t="n">
        <v>46012</v>
      </c>
      <c r="C160" s="1" t="n">
        <v>46204</v>
      </c>
      <c r="D160" t="inlineStr">
        <is>
          <t>VÄSTRA GÖTALANDS LÄN</t>
        </is>
      </c>
      <c r="E160" t="inlineStr">
        <is>
          <t>GULLSPÅNG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63406-2025</t>
        </is>
      </c>
      <c r="B161" s="1" t="n">
        <v>46012</v>
      </c>
      <c r="C161" s="1" t="n">
        <v>46204</v>
      </c>
      <c r="D161" t="inlineStr">
        <is>
          <t>VÄSTRA GÖTALANDS LÄN</t>
        </is>
      </c>
      <c r="E161" t="inlineStr">
        <is>
          <t>GULLSPÅNG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63407-2025</t>
        </is>
      </c>
      <c r="B162" s="1" t="n">
        <v>46012</v>
      </c>
      <c r="C162" s="1" t="n">
        <v>46204</v>
      </c>
      <c r="D162" t="inlineStr">
        <is>
          <t>VÄSTRA GÖTALANDS LÄN</t>
        </is>
      </c>
      <c r="E162" t="inlineStr">
        <is>
          <t>GULLSPÅNG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7596-2025</t>
        </is>
      </c>
      <c r="B163" s="1" t="n">
        <v>45705</v>
      </c>
      <c r="C163" s="1" t="n">
        <v>46204</v>
      </c>
      <c r="D163" t="inlineStr">
        <is>
          <t>VÄSTRA GÖTALANDS LÄN</t>
        </is>
      </c>
      <c r="E163" t="inlineStr">
        <is>
          <t>GULLSPÅNG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2314-2026</t>
        </is>
      </c>
      <c r="B164" s="1" t="n">
        <v>46034</v>
      </c>
      <c r="C164" s="1" t="n">
        <v>46204</v>
      </c>
      <c r="D164" t="inlineStr">
        <is>
          <t>VÄSTRA GÖTALANDS LÄN</t>
        </is>
      </c>
      <c r="E164" t="inlineStr">
        <is>
          <t>GULLSPÅNG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2315-2026</t>
        </is>
      </c>
      <c r="B165" s="1" t="n">
        <v>46034</v>
      </c>
      <c r="C165" s="1" t="n">
        <v>46204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14821-2024</t>
        </is>
      </c>
      <c r="B166" s="1" t="n">
        <v>45398</v>
      </c>
      <c r="C166" s="1" t="n">
        <v>46204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2470-2026</t>
        </is>
      </c>
      <c r="B167" s="1" t="n">
        <v>46037</v>
      </c>
      <c r="C167" s="1" t="n">
        <v>46204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10732-2024</t>
        </is>
      </c>
      <c r="B168" s="1" t="n">
        <v>45369</v>
      </c>
      <c r="C168" s="1" t="n">
        <v>46204</v>
      </c>
      <c r="D168" t="inlineStr">
        <is>
          <t>VÄSTRA GÖTALANDS LÄN</t>
        </is>
      </c>
      <c r="E168" t="inlineStr">
        <is>
          <t>GULLSPÅNG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6233-2024</t>
        </is>
      </c>
      <c r="B169" s="1" t="n">
        <v>45337</v>
      </c>
      <c r="C169" s="1" t="n">
        <v>46204</v>
      </c>
      <c r="D169" t="inlineStr">
        <is>
          <t>VÄSTRA GÖTALANDS LÄN</t>
        </is>
      </c>
      <c r="E169" t="inlineStr">
        <is>
          <t>GULLSPÅNG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23166-2023</t>
        </is>
      </c>
      <c r="B170" s="1" t="n">
        <v>45075</v>
      </c>
      <c r="C170" s="1" t="n">
        <v>46204</v>
      </c>
      <c r="D170" t="inlineStr">
        <is>
          <t>VÄSTRA GÖTALANDS LÄN</t>
        </is>
      </c>
      <c r="E170" t="inlineStr">
        <is>
          <t>GULLSPÅNG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24849-2026</t>
        </is>
      </c>
      <c r="B171" s="1" t="n">
        <v>46174</v>
      </c>
      <c r="C171" s="1" t="n">
        <v>46204</v>
      </c>
      <c r="D171" t="inlineStr">
        <is>
          <t>VÄSTRA GÖTALANDS LÄN</t>
        </is>
      </c>
      <c r="E171" t="inlineStr">
        <is>
          <t>GULLSPÅNG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24857-2026</t>
        </is>
      </c>
      <c r="B172" s="1" t="n">
        <v>46174</v>
      </c>
      <c r="C172" s="1" t="n">
        <v>46204</v>
      </c>
      <c r="D172" t="inlineStr">
        <is>
          <t>VÄSTRA GÖTALANDS LÄN</t>
        </is>
      </c>
      <c r="E172" t="inlineStr">
        <is>
          <t>GULLSPÅNG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39144-2024</t>
        </is>
      </c>
      <c r="B173" s="1" t="n">
        <v>45548</v>
      </c>
      <c r="C173" s="1" t="n">
        <v>46204</v>
      </c>
      <c r="D173" t="inlineStr">
        <is>
          <t>VÄSTRA GÖTALANDS LÄN</t>
        </is>
      </c>
      <c r="E173" t="inlineStr">
        <is>
          <t>GULLSPÅNG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34168-2021</t>
        </is>
      </c>
      <c r="B174" s="1" t="n">
        <v>44379</v>
      </c>
      <c r="C174" s="1" t="n">
        <v>46204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41256-2024</t>
        </is>
      </c>
      <c r="B175" s="1" t="n">
        <v>45559</v>
      </c>
      <c r="C175" s="1" t="n">
        <v>46204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56711-2022</t>
        </is>
      </c>
      <c r="B176" s="1" t="n">
        <v>44893</v>
      </c>
      <c r="C176" s="1" t="n">
        <v>46204</v>
      </c>
      <c r="D176" t="inlineStr">
        <is>
          <t>VÄSTRA GÖTALANDS LÄN</t>
        </is>
      </c>
      <c r="E176" t="inlineStr">
        <is>
          <t>GULLSPÅNG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56512-2024</t>
        </is>
      </c>
      <c r="B177" s="1" t="n">
        <v>45625</v>
      </c>
      <c r="C177" s="1" t="n">
        <v>46204</v>
      </c>
      <c r="D177" t="inlineStr">
        <is>
          <t>VÄSTRA GÖTALANDS LÄN</t>
        </is>
      </c>
      <c r="E177" t="inlineStr">
        <is>
          <t>GULLSPÅNG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3336-2025</t>
        </is>
      </c>
      <c r="B178" s="1" t="n">
        <v>45679</v>
      </c>
      <c r="C178" s="1" t="n">
        <v>46204</v>
      </c>
      <c r="D178" t="inlineStr">
        <is>
          <t>VÄSTRA GÖTALANDS LÄN</t>
        </is>
      </c>
      <c r="E178" t="inlineStr">
        <is>
          <t>GULLSPÅNG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31833-2024</t>
        </is>
      </c>
      <c r="B179" s="1" t="n">
        <v>45509</v>
      </c>
      <c r="C179" s="1" t="n">
        <v>46204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37700-2021</t>
        </is>
      </c>
      <c r="B180" s="1" t="n">
        <v>44400</v>
      </c>
      <c r="C180" s="1" t="n">
        <v>46204</v>
      </c>
      <c r="D180" t="inlineStr">
        <is>
          <t>VÄSTRA GÖTALANDS LÄN</t>
        </is>
      </c>
      <c r="E180" t="inlineStr">
        <is>
          <t>GULLSPÅNG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18685-2025</t>
        </is>
      </c>
      <c r="B181" s="1" t="n">
        <v>45763</v>
      </c>
      <c r="C181" s="1" t="n">
        <v>46204</v>
      </c>
      <c r="D181" t="inlineStr">
        <is>
          <t>VÄSTRA GÖTALANDS LÄN</t>
        </is>
      </c>
      <c r="E181" t="inlineStr">
        <is>
          <t>GULLSPÅNG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22750-2025</t>
        </is>
      </c>
      <c r="B182" s="1" t="n">
        <v>45789</v>
      </c>
      <c r="C182" s="1" t="n">
        <v>46204</v>
      </c>
      <c r="D182" t="inlineStr">
        <is>
          <t>VÄSTRA GÖTALANDS LÄN</t>
        </is>
      </c>
      <c r="E182" t="inlineStr">
        <is>
          <t>GULLSPÅNG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53823-2022</t>
        </is>
      </c>
      <c r="B183" s="1" t="n">
        <v>44880</v>
      </c>
      <c r="C183" s="1" t="n">
        <v>46204</v>
      </c>
      <c r="D183" t="inlineStr">
        <is>
          <t>VÄSTRA GÖTALANDS LÄN</t>
        </is>
      </c>
      <c r="E183" t="inlineStr">
        <is>
          <t>GULLSPÅNG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455-2024</t>
        </is>
      </c>
      <c r="B184" s="1" t="n">
        <v>45296</v>
      </c>
      <c r="C184" s="1" t="n">
        <v>46204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35186-2024</t>
        </is>
      </c>
      <c r="B185" s="1" t="n">
        <v>45530</v>
      </c>
      <c r="C185" s="1" t="n">
        <v>46204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35366-2024</t>
        </is>
      </c>
      <c r="B186" s="1" t="n">
        <v>45531</v>
      </c>
      <c r="C186" s="1" t="n">
        <v>46204</v>
      </c>
      <c r="D186" t="inlineStr">
        <is>
          <t>VÄSTRA GÖTALANDS LÄN</t>
        </is>
      </c>
      <c r="E186" t="inlineStr">
        <is>
          <t>GULLSPÅNG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20542-2024</t>
        </is>
      </c>
      <c r="B187" s="1" t="n">
        <v>45436</v>
      </c>
      <c r="C187" s="1" t="n">
        <v>46204</v>
      </c>
      <c r="D187" t="inlineStr">
        <is>
          <t>VÄSTRA GÖTALANDS LÄN</t>
        </is>
      </c>
      <c r="E187" t="inlineStr">
        <is>
          <t>GULLSPÅNG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14325-2024</t>
        </is>
      </c>
      <c r="B188" s="1" t="n">
        <v>45393</v>
      </c>
      <c r="C188" s="1" t="n">
        <v>46204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Kommuner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44707-2021</t>
        </is>
      </c>
      <c r="B189" s="1" t="n">
        <v>44438</v>
      </c>
      <c r="C189" s="1" t="n">
        <v>46204</v>
      </c>
      <c r="D189" t="inlineStr">
        <is>
          <t>VÄSTRA GÖTALANDS LÄN</t>
        </is>
      </c>
      <c r="E189" t="inlineStr">
        <is>
          <t>GULLSPÅNG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55163-2023</t>
        </is>
      </c>
      <c r="B190" s="1" t="n">
        <v>45237</v>
      </c>
      <c r="C190" s="1" t="n">
        <v>46204</v>
      </c>
      <c r="D190" t="inlineStr">
        <is>
          <t>VÄSTRA GÖTALANDS LÄN</t>
        </is>
      </c>
      <c r="E190" t="inlineStr">
        <is>
          <t>GULLSPÅNG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25554-2023</t>
        </is>
      </c>
      <c r="B191" s="1" t="n">
        <v>45082</v>
      </c>
      <c r="C191" s="1" t="n">
        <v>46204</v>
      </c>
      <c r="D191" t="inlineStr">
        <is>
          <t>VÄSTRA GÖTALANDS LÄN</t>
        </is>
      </c>
      <c r="E191" t="inlineStr">
        <is>
          <t>GULLSPÅNG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9243-2025</t>
        </is>
      </c>
      <c r="B192" s="1" t="n">
        <v>45714</v>
      </c>
      <c r="C192" s="1" t="n">
        <v>46204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12889-2023</t>
        </is>
      </c>
      <c r="B193" s="1" t="n">
        <v>45001</v>
      </c>
      <c r="C193" s="1" t="n">
        <v>46204</v>
      </c>
      <c r="D193" t="inlineStr">
        <is>
          <t>VÄSTRA GÖTALANDS LÄN</t>
        </is>
      </c>
      <c r="E193" t="inlineStr">
        <is>
          <t>GULLSPÅNG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49118-2024</t>
        </is>
      </c>
      <c r="B194" s="1" t="n">
        <v>45594</v>
      </c>
      <c r="C194" s="1" t="n">
        <v>46204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64725-2023</t>
        </is>
      </c>
      <c r="B195" s="1" t="n">
        <v>45281</v>
      </c>
      <c r="C195" s="1" t="n">
        <v>46204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50456-2022</t>
        </is>
      </c>
      <c r="B196" s="1" t="n">
        <v>44861</v>
      </c>
      <c r="C196" s="1" t="n">
        <v>46204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29167-2025</t>
        </is>
      </c>
      <c r="B197" s="1" t="n">
        <v>45821</v>
      </c>
      <c r="C197" s="1" t="n">
        <v>46204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9481-2023</t>
        </is>
      </c>
      <c r="B198" s="1" t="n">
        <v>44977</v>
      </c>
      <c r="C198" s="1" t="n">
        <v>46204</v>
      </c>
      <c r="D198" t="inlineStr">
        <is>
          <t>VÄSTRA GÖTALANDS LÄN</t>
        </is>
      </c>
      <c r="E198" t="inlineStr">
        <is>
          <t>GULLSPÅNG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9483-2023</t>
        </is>
      </c>
      <c r="B199" s="1" t="n">
        <v>44977</v>
      </c>
      <c r="C199" s="1" t="n">
        <v>46204</v>
      </c>
      <c r="D199" t="inlineStr">
        <is>
          <t>VÄSTRA GÖTALANDS LÄN</t>
        </is>
      </c>
      <c r="E199" t="inlineStr">
        <is>
          <t>GULLSPÅNG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40508-2023</t>
        </is>
      </c>
      <c r="B200" s="1" t="n">
        <v>45170</v>
      </c>
      <c r="C200" s="1" t="n">
        <v>46204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32548-2024</t>
        </is>
      </c>
      <c r="B201" s="1" t="n">
        <v>45513</v>
      </c>
      <c r="C201" s="1" t="n">
        <v>46204</v>
      </c>
      <c r="D201" t="inlineStr">
        <is>
          <t>VÄSTRA GÖTALANDS LÄN</t>
        </is>
      </c>
      <c r="E201" t="inlineStr">
        <is>
          <t>GULLSPÅNG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35426-2023</t>
        </is>
      </c>
      <c r="B202" s="1" t="n">
        <v>45146</v>
      </c>
      <c r="C202" s="1" t="n">
        <v>46204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35433-2023</t>
        </is>
      </c>
      <c r="B203" s="1" t="n">
        <v>45146</v>
      </c>
      <c r="C203" s="1" t="n">
        <v>46204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27260-2024</t>
        </is>
      </c>
      <c r="B204" s="1" t="n">
        <v>45471</v>
      </c>
      <c r="C204" s="1" t="n">
        <v>46204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55145-2024</t>
        </is>
      </c>
      <c r="B205" s="1" t="n">
        <v>45621</v>
      </c>
      <c r="C205" s="1" t="n">
        <v>46204</v>
      </c>
      <c r="D205" t="inlineStr">
        <is>
          <t>VÄSTRA GÖTALANDS LÄN</t>
        </is>
      </c>
      <c r="E205" t="inlineStr">
        <is>
          <t>GULLSPÅNG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43097-2024</t>
        </is>
      </c>
      <c r="B206" s="1" t="n">
        <v>45567</v>
      </c>
      <c r="C206" s="1" t="n">
        <v>46204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37197-2023</t>
        </is>
      </c>
      <c r="B207" s="1" t="n">
        <v>45155</v>
      </c>
      <c r="C207" s="1" t="n">
        <v>46204</v>
      </c>
      <c r="D207" t="inlineStr">
        <is>
          <t>VÄSTRA GÖTALANDS LÄN</t>
        </is>
      </c>
      <c r="E207" t="inlineStr">
        <is>
          <t>GULLSPÅNG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53360-2022</t>
        </is>
      </c>
      <c r="B208" s="1" t="n">
        <v>44879</v>
      </c>
      <c r="C208" s="1" t="n">
        <v>46204</v>
      </c>
      <c r="D208" t="inlineStr">
        <is>
          <t>VÄSTRA GÖTALANDS LÄN</t>
        </is>
      </c>
      <c r="E208" t="inlineStr">
        <is>
          <t>GULLSPÅNG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22925-2024</t>
        </is>
      </c>
      <c r="B209" s="1" t="n">
        <v>45448</v>
      </c>
      <c r="C209" s="1" t="n">
        <v>46204</v>
      </c>
      <c r="D209" t="inlineStr">
        <is>
          <t>VÄSTRA GÖTALANDS LÄN</t>
        </is>
      </c>
      <c r="E209" t="inlineStr">
        <is>
          <t>GULLSPÅNG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35435-2023</t>
        </is>
      </c>
      <c r="B210" s="1" t="n">
        <v>45146</v>
      </c>
      <c r="C210" s="1" t="n">
        <v>46204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14309-2024</t>
        </is>
      </c>
      <c r="B211" s="1" t="n">
        <v>45393</v>
      </c>
      <c r="C211" s="1" t="n">
        <v>46204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Kommuner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40505-2023</t>
        </is>
      </c>
      <c r="B212" s="1" t="n">
        <v>45170</v>
      </c>
      <c r="C212" s="1" t="n">
        <v>46204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11827-2025</t>
        </is>
      </c>
      <c r="B213" s="1" t="n">
        <v>45728</v>
      </c>
      <c r="C213" s="1" t="n">
        <v>46204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45002-2024</t>
        </is>
      </c>
      <c r="B214" s="1" t="n">
        <v>45575</v>
      </c>
      <c r="C214" s="1" t="n">
        <v>46204</v>
      </c>
      <c r="D214" t="inlineStr">
        <is>
          <t>VÄSTRA GÖTALANDS LÄN</t>
        </is>
      </c>
      <c r="E214" t="inlineStr">
        <is>
          <t>GULLSPÅNG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28200-2022</t>
        </is>
      </c>
      <c r="B215" s="1" t="n">
        <v>44746</v>
      </c>
      <c r="C215" s="1" t="n">
        <v>46204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43564-2024</t>
        </is>
      </c>
      <c r="B216" s="1" t="n">
        <v>45569</v>
      </c>
      <c r="C216" s="1" t="n">
        <v>46204</v>
      </c>
      <c r="D216" t="inlineStr">
        <is>
          <t>VÄSTRA GÖTALANDS LÄN</t>
        </is>
      </c>
      <c r="E216" t="inlineStr">
        <is>
          <t>GULLSPÅNG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20545-2024</t>
        </is>
      </c>
      <c r="B217" s="1" t="n">
        <v>45436</v>
      </c>
      <c r="C217" s="1" t="n">
        <v>46204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21159-2025</t>
        </is>
      </c>
      <c r="B218" s="1" t="n">
        <v>45779</v>
      </c>
      <c r="C218" s="1" t="n">
        <v>46204</v>
      </c>
      <c r="D218" t="inlineStr">
        <is>
          <t>VÄSTRA GÖTALANDS LÄN</t>
        </is>
      </c>
      <c r="E218" t="inlineStr">
        <is>
          <t>GULLSPÅNG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10388-2025</t>
        </is>
      </c>
      <c r="B219" s="1" t="n">
        <v>45720</v>
      </c>
      <c r="C219" s="1" t="n">
        <v>46204</v>
      </c>
      <c r="D219" t="inlineStr">
        <is>
          <t>VÄSTRA GÖTALANDS LÄN</t>
        </is>
      </c>
      <c r="E219" t="inlineStr">
        <is>
          <t>GULLSPÅNG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10389-2025</t>
        </is>
      </c>
      <c r="B220" s="1" t="n">
        <v>45720</v>
      </c>
      <c r="C220" s="1" t="n">
        <v>46204</v>
      </c>
      <c r="D220" t="inlineStr">
        <is>
          <t>VÄSTRA GÖTALANDS LÄN</t>
        </is>
      </c>
      <c r="E220" t="inlineStr">
        <is>
          <t>GULLSPÅNG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10638-2025</t>
        </is>
      </c>
      <c r="B221" s="1" t="n">
        <v>45721</v>
      </c>
      <c r="C221" s="1" t="n">
        <v>46204</v>
      </c>
      <c r="D221" t="inlineStr">
        <is>
          <t>VÄSTRA GÖTALANDS LÄN</t>
        </is>
      </c>
      <c r="E221" t="inlineStr">
        <is>
          <t>GULLSPÅNG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8953-2025</t>
        </is>
      </c>
      <c r="B222" s="1" t="n">
        <v>45713</v>
      </c>
      <c r="C222" s="1" t="n">
        <v>46204</v>
      </c>
      <c r="D222" t="inlineStr">
        <is>
          <t>VÄSTRA GÖTALANDS LÄN</t>
        </is>
      </c>
      <c r="E222" t="inlineStr">
        <is>
          <t>GULLSPÅNG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11818-2025</t>
        </is>
      </c>
      <c r="B223" s="1" t="n">
        <v>45728</v>
      </c>
      <c r="C223" s="1" t="n">
        <v>46204</v>
      </c>
      <c r="D223" t="inlineStr">
        <is>
          <t>VÄSTRA GÖTALANDS LÄN</t>
        </is>
      </c>
      <c r="E223" t="inlineStr">
        <is>
          <t>GULLSPÅNG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35888-2024</t>
        </is>
      </c>
      <c r="B224" s="1" t="n">
        <v>45533</v>
      </c>
      <c r="C224" s="1" t="n">
        <v>46204</v>
      </c>
      <c r="D224" t="inlineStr">
        <is>
          <t>VÄSTRA GÖTALANDS LÄN</t>
        </is>
      </c>
      <c r="E224" t="inlineStr">
        <is>
          <t>GULLSPÅNG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13346-2025</t>
        </is>
      </c>
      <c r="B225" s="1" t="n">
        <v>45735</v>
      </c>
      <c r="C225" s="1" t="n">
        <v>46204</v>
      </c>
      <c r="D225" t="inlineStr">
        <is>
          <t>VÄSTRA GÖTALANDS LÄN</t>
        </is>
      </c>
      <c r="E225" t="inlineStr">
        <is>
          <t>GULLSPÅNG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13719-2025</t>
        </is>
      </c>
      <c r="B226" s="1" t="n">
        <v>45737</v>
      </c>
      <c r="C226" s="1" t="n">
        <v>46204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40530-2024</t>
        </is>
      </c>
      <c r="B227" s="1" t="n">
        <v>45555</v>
      </c>
      <c r="C227" s="1" t="n">
        <v>46204</v>
      </c>
      <c r="D227" t="inlineStr">
        <is>
          <t>VÄSTRA GÖTALANDS LÄN</t>
        </is>
      </c>
      <c r="E227" t="inlineStr">
        <is>
          <t>GULLSPÅNG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5951-2025</t>
        </is>
      </c>
      <c r="B228" s="1" t="n">
        <v>45695</v>
      </c>
      <c r="C228" s="1" t="n">
        <v>46204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43105-2024</t>
        </is>
      </c>
      <c r="B229" s="1" t="n">
        <v>45567</v>
      </c>
      <c r="C229" s="1" t="n">
        <v>46204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59204-2022</t>
        </is>
      </c>
      <c r="B230" s="1" t="n">
        <v>44897</v>
      </c>
      <c r="C230" s="1" t="n">
        <v>46204</v>
      </c>
      <c r="D230" t="inlineStr">
        <is>
          <t>VÄSTRA GÖTALANDS LÄN</t>
        </is>
      </c>
      <c r="E230" t="inlineStr">
        <is>
          <t>GULLSPÅNG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27379-2025</t>
        </is>
      </c>
      <c r="B231" s="1" t="n">
        <v>45812</v>
      </c>
      <c r="C231" s="1" t="n">
        <v>46204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29177-2025</t>
        </is>
      </c>
      <c r="B232" s="1" t="n">
        <v>45821</v>
      </c>
      <c r="C232" s="1" t="n">
        <v>46204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28933-2025</t>
        </is>
      </c>
      <c r="B233" s="1" t="n">
        <v>45820</v>
      </c>
      <c r="C233" s="1" t="n">
        <v>46204</v>
      </c>
      <c r="D233" t="inlineStr">
        <is>
          <t>VÄSTRA GÖTALANDS LÄN</t>
        </is>
      </c>
      <c r="E233" t="inlineStr">
        <is>
          <t>GULLSPÅNG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28934-2025</t>
        </is>
      </c>
      <c r="B234" s="1" t="n">
        <v>45820</v>
      </c>
      <c r="C234" s="1" t="n">
        <v>46204</v>
      </c>
      <c r="D234" t="inlineStr">
        <is>
          <t>VÄSTRA GÖTALANDS LÄN</t>
        </is>
      </c>
      <c r="E234" t="inlineStr">
        <is>
          <t>GULLSPÅNG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28932-2025</t>
        </is>
      </c>
      <c r="B235" s="1" t="n">
        <v>45820</v>
      </c>
      <c r="C235" s="1" t="n">
        <v>46204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2026-07-01T01:00:59Z</dcterms:created>
  <dcterms:modified xmlns:dcterms="http://purl.org/dc/terms/" xmlns:xsi="http://www.w3.org/2001/XMLSchema-instance" xsi:type="dcterms:W3CDTF">2026-07-01T01:00:59Z</dcterms:modified>
</cp:coreProperties>
</file>